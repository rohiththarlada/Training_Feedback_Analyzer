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var\Downloads\"/>
    </mc:Choice>
  </mc:AlternateContent>
  <xr:revisionPtr revIDLastSave="0" documentId="13_ncr:1_{C4E22B26-86EE-477C-BF10-6CC93EB7F927}" xr6:coauthVersionLast="47" xr6:coauthVersionMax="47" xr10:uidLastSave="{00000000-0000-0000-0000-000000000000}"/>
  <bookViews>
    <workbookView xWindow="-108" yWindow="-108" windowWidth="23256" windowHeight="13896" tabRatio="500" firstSheet="7" activeTab="9" xr2:uid="{00000000-000D-0000-FFFF-FFFF00000000}"/>
  </bookViews>
  <sheets>
    <sheet name="Task Brief" sheetId="1" r:id="rId1"/>
    <sheet name="Course Scorecard" sheetId="5" r:id="rId2"/>
    <sheet name="Course Redesign Ranking" sheetId="10" r:id="rId3"/>
    <sheet name="Dashboard" sheetId="8" r:id="rId4"/>
    <sheet name="Comment Themes" sheetId="6" r:id="rId5"/>
    <sheet name="Trainer Notes" sheetId="7" r:id="rId6"/>
    <sheet name="AI Theme Validation" sheetId="9" r:id="rId7"/>
    <sheet name="Training Feedback" sheetId="2" r:id="rId8"/>
    <sheet name="Data Dictionary" sheetId="3" r:id="rId9"/>
    <sheet name="AI Use Log" sheetId="4" r:id="rId10"/>
  </sheets>
  <definedNames>
    <definedName name="_xlnm._FilterDatabase" localSheetId="7" hidden="1">'Training Feedback'!$A$1:$J$301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4" l="1"/>
  <c r="A6" i="4"/>
  <c r="A7" i="4"/>
  <c r="A8" i="4"/>
  <c r="A9" i="4"/>
  <c r="A10" i="4"/>
  <c r="A11" i="4"/>
  <c r="A12" i="4"/>
  <c r="A13" i="4"/>
  <c r="A14" i="4"/>
  <c r="A15" i="4"/>
  <c r="A16" i="4"/>
  <c r="A17" i="4"/>
  <c r="A18" i="4"/>
  <c r="A5" i="4"/>
  <c r="I3" i="10"/>
  <c r="I4" i="10"/>
  <c r="I5" i="10"/>
  <c r="I6" i="10"/>
  <c r="I7" i="10"/>
  <c r="H3" i="10"/>
  <c r="H4" i="10"/>
  <c r="H5" i="10"/>
  <c r="H6" i="10"/>
  <c r="H7" i="10"/>
  <c r="H2" i="10"/>
  <c r="I2" i="10" s="1"/>
  <c r="G3" i="10"/>
  <c r="G4" i="10"/>
  <c r="G5" i="10"/>
  <c r="G6" i="10"/>
  <c r="G7" i="10"/>
  <c r="F3" i="10"/>
  <c r="F4" i="10"/>
  <c r="F5" i="10"/>
  <c r="F6" i="10"/>
  <c r="F7" i="10"/>
  <c r="E3" i="10"/>
  <c r="E4" i="10"/>
  <c r="E5" i="10"/>
  <c r="E6" i="10"/>
  <c r="E7" i="10"/>
  <c r="D3" i="10"/>
  <c r="D4" i="10"/>
  <c r="D5" i="10"/>
  <c r="D6" i="10"/>
  <c r="D7" i="10"/>
  <c r="C3" i="10"/>
  <c r="C4" i="10"/>
  <c r="C5" i="10"/>
  <c r="C6" i="10"/>
  <c r="C7" i="10"/>
  <c r="B3" i="10"/>
  <c r="B4" i="10"/>
  <c r="B5" i="10"/>
  <c r="B6" i="10"/>
  <c r="B7" i="10"/>
  <c r="A3" i="10"/>
  <c r="A4" i="10"/>
  <c r="A5" i="10"/>
  <c r="A6" i="10"/>
  <c r="A7" i="10"/>
  <c r="G2" i="10"/>
  <c r="F2" i="10"/>
  <c r="E2" i="10"/>
  <c r="D2" i="10"/>
  <c r="C2" i="10"/>
  <c r="B2" i="10"/>
  <c r="A2" i="10"/>
  <c r="B310" i="9"/>
  <c r="B309" i="9"/>
  <c r="B308" i="9"/>
  <c r="B307"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2" i="9"/>
  <c r="A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B28" i="8"/>
  <c r="B27" i="8"/>
  <c r="A3" i="8"/>
  <c r="A4" i="8"/>
  <c r="A5" i="8"/>
  <c r="A6" i="8"/>
  <c r="A7" i="8"/>
  <c r="A2" i="8"/>
  <c r="B3" i="8"/>
  <c r="B4" i="8"/>
  <c r="B5" i="8"/>
  <c r="B6" i="8"/>
  <c r="B7" i="8"/>
  <c r="B2" i="8"/>
  <c r="F2" i="7"/>
  <c r="G2" i="7"/>
  <c r="H2" i="7"/>
  <c r="H3" i="7"/>
  <c r="H4" i="7"/>
  <c r="G3" i="7"/>
  <c r="G4" i="7"/>
  <c r="F3" i="7"/>
  <c r="F4" i="7"/>
  <c r="E3" i="7"/>
  <c r="E4" i="7"/>
  <c r="E2" i="7"/>
  <c r="C6" i="6"/>
  <c r="C5" i="6"/>
  <c r="C4" i="6"/>
  <c r="C3" i="6"/>
  <c r="C2" i="6"/>
  <c r="G3" i="5"/>
  <c r="G4" i="5"/>
  <c r="G5" i="5"/>
  <c r="G6" i="5"/>
  <c r="G2" i="5"/>
  <c r="F3" i="5"/>
  <c r="F4" i="5"/>
  <c r="F5" i="5"/>
  <c r="F6" i="5"/>
  <c r="F7" i="5"/>
  <c r="F2" i="5"/>
  <c r="E3" i="5"/>
  <c r="E4" i="5"/>
  <c r="E5" i="5"/>
  <c r="E6" i="5"/>
  <c r="E7" i="5"/>
  <c r="G7" i="5" s="1"/>
  <c r="D3" i="5"/>
  <c r="D4" i="5"/>
  <c r="D5" i="5"/>
  <c r="D6" i="5"/>
  <c r="D7" i="5"/>
  <c r="C3" i="5"/>
  <c r="C4" i="5"/>
  <c r="C5" i="5"/>
  <c r="C6" i="5"/>
  <c r="C7" i="5"/>
  <c r="E2" i="5"/>
  <c r="D2" i="5"/>
  <c r="C2" i="5"/>
  <c r="B3" i="5"/>
  <c r="B4" i="5"/>
  <c r="B5" i="5"/>
  <c r="B6" i="5"/>
  <c r="B7" i="5"/>
  <c r="B2" i="5"/>
  <c r="C23" i="1"/>
</calcChain>
</file>

<file path=xl/sharedStrings.xml><?xml version="1.0" encoding="utf-8"?>
<sst xmlns="http://schemas.openxmlformats.org/spreadsheetml/2006/main" count="2235" uniqueCount="595">
  <si>
    <t>T45  Training feedback analyser</t>
  </si>
  <si>
    <t>Mini project | 30 marks | Build something with free LLM tools</t>
  </si>
  <si>
    <t>Task ID</t>
  </si>
  <si>
    <t>T45</t>
  </si>
  <si>
    <t>Task</t>
  </si>
  <si>
    <t>Training feedback analyser</t>
  </si>
  <si>
    <t>Theme</t>
  </si>
  <si>
    <t>AI text analytics</t>
  </si>
  <si>
    <t>Suggested free tools</t>
  </si>
  <si>
    <t>Free tiers of ChatGPT, Gemini, Claude or Microsoft Copilot; Excel / Google Sheets to score results</t>
  </si>
  <si>
    <t>What students do</t>
  </si>
  <si>
    <t>1. Summarise ratings by course and trainer.
2. Theme the comments with an LLM and check a sample by hand.
3. Rank courses to redesign.
4. Draft feedback notes for trainers.</t>
  </si>
  <si>
    <t>Deliverables</t>
  </si>
  <si>
    <t>Course scorecard; comment themes; trainer notes; AI-use log</t>
  </si>
  <si>
    <t>Dataset in this file</t>
  </si>
  <si>
    <t>300 training feedback forms
- 'Training Feedback' sheet: 300 rows x 10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</si>
  <si>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</si>
  <si>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</si>
  <si>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</si>
  <si>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</si>
  <si>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</si>
  <si>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</si>
  <si>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</si>
  <si>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</si>
  <si>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</si>
  <si>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</si>
  <si>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</si>
  <si>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</si>
  <si>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</si>
  <si>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</si>
  <si>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</si>
  <si>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</si>
  <si>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</si>
  <si>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</si>
  <si>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</si>
  <si>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</si>
  <si>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</si>
  <si>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</si>
  <si>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</si>
  <si>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</si>
  <si>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</si>
  <si>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</si>
  <si>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</si>
  <si>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</si>
  <si>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</si>
  <si>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</si>
  <si>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</si>
  <si>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</si>
  <si>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</si>
  <si>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</si>
  <si>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</si>
  <si>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</si>
  <si>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</si>
  <si>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</si>
  <si>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</si>
  <si>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</si>
  <si>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</si>
  <si>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</si>
  <si>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</si>
  <si>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</si>
  <si>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</si>
  <si>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</si>
  <si>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feedback_id</t>
  </si>
  <si>
    <t>course</t>
  </si>
  <si>
    <t>trainer</t>
  </si>
  <si>
    <t>session_date</t>
  </si>
  <si>
    <t>mode</t>
  </si>
  <si>
    <t>content_relevance_1to5</t>
  </si>
  <si>
    <t>trainer_effectiveness_1to5</t>
  </si>
  <si>
    <t>pace_1to5</t>
  </si>
  <si>
    <t>likely_to_apply_1to5</t>
  </si>
  <si>
    <t>comments</t>
  </si>
  <si>
    <t>FB0001</t>
  </si>
  <si>
    <t>GenAI for Managers</t>
  </si>
  <si>
    <t>Trainer 2 - External</t>
  </si>
  <si>
    <t>Virtual</t>
  </si>
  <si>
    <t>Pace was just right. Hands-on exercises were very useful.</t>
  </si>
  <si>
    <t>FB0002</t>
  </si>
  <si>
    <t>Leadership Essentials</t>
  </si>
  <si>
    <t>Trainer 1 - Internal</t>
  </si>
  <si>
    <t>Pace was just right. The trainer used real examples from our work.</t>
  </si>
  <si>
    <t>FB0003</t>
  </si>
  <si>
    <t>Data Storytelling</t>
  </si>
  <si>
    <t>Content was too basic for experienced staff.</t>
  </si>
  <si>
    <t>FB0004</t>
  </si>
  <si>
    <t>Consultative Selling</t>
  </si>
  <si>
    <t>Classroom</t>
  </si>
  <si>
    <t>I can apply the Excel shortcuts from tomorrow.</t>
  </si>
  <si>
    <t>FB0005</t>
  </si>
  <si>
    <t>POSH Awareness</t>
  </si>
  <si>
    <t>The trainer used real examples from our work.</t>
  </si>
  <si>
    <t>FB0006</t>
  </si>
  <si>
    <t>Session ran over time and felt rushed at the end. Too much theory, not enough practice.</t>
  </si>
  <si>
    <t>FB0007</t>
  </si>
  <si>
    <t>Pace was just right.</t>
  </si>
  <si>
    <t>FB0008</t>
  </si>
  <si>
    <t>Trainer 3 - External</t>
  </si>
  <si>
    <t>Content was too basic for experienced staff. Room was noisy and the projector kept failing.</t>
  </si>
  <si>
    <t>FB0009</t>
  </si>
  <si>
    <t>Hands-on exercises were very useful. Pace was just right.</t>
  </si>
  <si>
    <t>FB0010</t>
  </si>
  <si>
    <t>Session ran over time and felt rushed at the end.</t>
  </si>
  <si>
    <t>FB0011</t>
  </si>
  <si>
    <t>I can apply the Excel shortcuts from tomorrow. The trainer used real examples from our work.</t>
  </si>
  <si>
    <t>FB0012</t>
  </si>
  <si>
    <t>I can apply the Excel shortcuts from tomorrow. Pace was just right.</t>
  </si>
  <si>
    <t>FB0013</t>
  </si>
  <si>
    <t>The trainer used real examples from our work. Pace was just right.</t>
  </si>
  <si>
    <t>FB0014</t>
  </si>
  <si>
    <t>FB0015</t>
  </si>
  <si>
    <t>Too much theory, not enough practice.</t>
  </si>
  <si>
    <t>FB0016</t>
  </si>
  <si>
    <t>Advanced Excel</t>
  </si>
  <si>
    <t>FB0017</t>
  </si>
  <si>
    <t>FB0018</t>
  </si>
  <si>
    <t>Too much theory, not enough practice. Content was too basic for experienced staff.</t>
  </si>
  <si>
    <t>FB0019</t>
  </si>
  <si>
    <t>FB0020</t>
  </si>
  <si>
    <t>I can apply the Excel shortcuts from tomorrow. Hands-on exercises were very useful.</t>
  </si>
  <si>
    <t>FB0021</t>
  </si>
  <si>
    <t>Session ran over time and felt rushed at the end. Content was too basic for experienced staff.</t>
  </si>
  <si>
    <t>FB0022</t>
  </si>
  <si>
    <t>FB0023</t>
  </si>
  <si>
    <t>FB0024</t>
  </si>
  <si>
    <t>Hands-on exercises were very useful.</t>
  </si>
  <si>
    <t>FB0025</t>
  </si>
  <si>
    <t>The trainer used real examples from our work. I can apply the Excel shortcuts from tomorrow.</t>
  </si>
  <si>
    <t>FB0026</t>
  </si>
  <si>
    <t>FB0027</t>
  </si>
  <si>
    <t>Room was noisy and the projector kept failing. Content was too basic for experienced staff.</t>
  </si>
  <si>
    <t>FB0028</t>
  </si>
  <si>
    <t>Room was noisy and the projector kept failing.</t>
  </si>
  <si>
    <t>FB0029</t>
  </si>
  <si>
    <t>FB0030</t>
  </si>
  <si>
    <t>FB0031</t>
  </si>
  <si>
    <t>Too much theory, not enough practice. Room was noisy and the projector kept failing.</t>
  </si>
  <si>
    <t>FB0032</t>
  </si>
  <si>
    <t>FB0033</t>
  </si>
  <si>
    <t>FB0034</t>
  </si>
  <si>
    <t>FB0035</t>
  </si>
  <si>
    <t>FB0036</t>
  </si>
  <si>
    <t>Hands-on exercises were very useful. I can apply the Excel shortcuts from tomorrow.</t>
  </si>
  <si>
    <t>FB0037</t>
  </si>
  <si>
    <t>Room was noisy and the projector kept failing. Too much theory, not enough practice.</t>
  </si>
  <si>
    <t>FB0038</t>
  </si>
  <si>
    <t>FB0039</t>
  </si>
  <si>
    <t>FB0040</t>
  </si>
  <si>
    <t>FB0041</t>
  </si>
  <si>
    <t>FB0042</t>
  </si>
  <si>
    <t>FB0043</t>
  </si>
  <si>
    <t>FB0044</t>
  </si>
  <si>
    <t>FB0045</t>
  </si>
  <si>
    <t>FB0046</t>
  </si>
  <si>
    <t>FB0047</t>
  </si>
  <si>
    <t>FB0048</t>
  </si>
  <si>
    <t>FB0049</t>
  </si>
  <si>
    <t>FB0050</t>
  </si>
  <si>
    <t>Content was too basic for experienced staff. Session ran over time and felt rushed at the end.</t>
  </si>
  <si>
    <t>FB0051</t>
  </si>
  <si>
    <t>FB0052</t>
  </si>
  <si>
    <t>FB0053</t>
  </si>
  <si>
    <t>FB0054</t>
  </si>
  <si>
    <t>FB0055</t>
  </si>
  <si>
    <t>FB0056</t>
  </si>
  <si>
    <t>FB0057</t>
  </si>
  <si>
    <t>FB0058</t>
  </si>
  <si>
    <t>FB0059</t>
  </si>
  <si>
    <t>FB0060</t>
  </si>
  <si>
    <t>FB0061</t>
  </si>
  <si>
    <t>FB0062</t>
  </si>
  <si>
    <t>FB0063</t>
  </si>
  <si>
    <t>FB0064</t>
  </si>
  <si>
    <t>FB0065</t>
  </si>
  <si>
    <t>FB0066</t>
  </si>
  <si>
    <t>FB0067</t>
  </si>
  <si>
    <t>FB0068</t>
  </si>
  <si>
    <t>FB0069</t>
  </si>
  <si>
    <t>FB0070</t>
  </si>
  <si>
    <t>FB0071</t>
  </si>
  <si>
    <t>FB0072</t>
  </si>
  <si>
    <t>FB0073</t>
  </si>
  <si>
    <t>FB0074</t>
  </si>
  <si>
    <t>FB0075</t>
  </si>
  <si>
    <t>FB0076</t>
  </si>
  <si>
    <t>FB0077</t>
  </si>
  <si>
    <t>FB0078</t>
  </si>
  <si>
    <t>FB0079</t>
  </si>
  <si>
    <t>FB0080</t>
  </si>
  <si>
    <t>FB0081</t>
  </si>
  <si>
    <t>Hands-on exercises were very useful. The trainer used real examples from our work.</t>
  </si>
  <si>
    <t>FB0082</t>
  </si>
  <si>
    <t>Pace was just right. I can apply the Excel shortcuts from tomorrow.</t>
  </si>
  <si>
    <t>FB0083</t>
  </si>
  <si>
    <t>FB0084</t>
  </si>
  <si>
    <t>FB0085</t>
  </si>
  <si>
    <t>FB0086</t>
  </si>
  <si>
    <t>Session ran over time and felt rushed at the end. Room was noisy and the projector kept failing.</t>
  </si>
  <si>
    <t>FB0087</t>
  </si>
  <si>
    <t>FB0088</t>
  </si>
  <si>
    <t>The trainer used real examples from our work. Hands-on exercises were very useful.</t>
  </si>
  <si>
    <t>FB0089</t>
  </si>
  <si>
    <t>FB0090</t>
  </si>
  <si>
    <t>FB0091</t>
  </si>
  <si>
    <t>FB0092</t>
  </si>
  <si>
    <t>FB0093</t>
  </si>
  <si>
    <t>FB0094</t>
  </si>
  <si>
    <t>FB0095</t>
  </si>
  <si>
    <t>FB0096</t>
  </si>
  <si>
    <t>FB0097</t>
  </si>
  <si>
    <t>FB0098</t>
  </si>
  <si>
    <t>FB0099</t>
  </si>
  <si>
    <t>FB0100</t>
  </si>
  <si>
    <t>FB0101</t>
  </si>
  <si>
    <t>Room was noisy and the projector kept failing. Session ran over time and felt rushed at the end.</t>
  </si>
  <si>
    <t>FB0102</t>
  </si>
  <si>
    <t>FB0103</t>
  </si>
  <si>
    <t>FB0104</t>
  </si>
  <si>
    <t>FB0105</t>
  </si>
  <si>
    <t>FB0106</t>
  </si>
  <si>
    <t>FB0107</t>
  </si>
  <si>
    <t>FB0108</t>
  </si>
  <si>
    <t>FB0109</t>
  </si>
  <si>
    <t>FB0110</t>
  </si>
  <si>
    <t>FB0111</t>
  </si>
  <si>
    <t>FB0112</t>
  </si>
  <si>
    <t>FB0113</t>
  </si>
  <si>
    <t>FB0114</t>
  </si>
  <si>
    <t>FB0115</t>
  </si>
  <si>
    <t>FB0116</t>
  </si>
  <si>
    <t>FB0117</t>
  </si>
  <si>
    <t>FB0118</t>
  </si>
  <si>
    <t>FB0119</t>
  </si>
  <si>
    <t>FB0120</t>
  </si>
  <si>
    <t>FB0121</t>
  </si>
  <si>
    <t>FB0122</t>
  </si>
  <si>
    <t>FB0123</t>
  </si>
  <si>
    <t>FB0124</t>
  </si>
  <si>
    <t>Content was too basic for experienced staff. Too much theory, not enough practice.</t>
  </si>
  <si>
    <t>FB0125</t>
  </si>
  <si>
    <t>FB0126</t>
  </si>
  <si>
    <t>FB0127</t>
  </si>
  <si>
    <t>FB0128</t>
  </si>
  <si>
    <t>FB0129</t>
  </si>
  <si>
    <t>FB0130</t>
  </si>
  <si>
    <t>FB0131</t>
  </si>
  <si>
    <t>FB0132</t>
  </si>
  <si>
    <t>FB0133</t>
  </si>
  <si>
    <t>FB0134</t>
  </si>
  <si>
    <t>FB0135</t>
  </si>
  <si>
    <t>FB0136</t>
  </si>
  <si>
    <t>FB0137</t>
  </si>
  <si>
    <t>FB0138</t>
  </si>
  <si>
    <t>FB0139</t>
  </si>
  <si>
    <t>FB0140</t>
  </si>
  <si>
    <t>FB0141</t>
  </si>
  <si>
    <t>FB0142</t>
  </si>
  <si>
    <t>FB0143</t>
  </si>
  <si>
    <t>FB0144</t>
  </si>
  <si>
    <t>FB0145</t>
  </si>
  <si>
    <t>FB0146</t>
  </si>
  <si>
    <t>FB0147</t>
  </si>
  <si>
    <t>FB0148</t>
  </si>
  <si>
    <t>FB0149</t>
  </si>
  <si>
    <t>FB0150</t>
  </si>
  <si>
    <t>Too much theory, not enough practice. Session ran over time and felt rushed at the end.</t>
  </si>
  <si>
    <t>FB0151</t>
  </si>
  <si>
    <t>FB0152</t>
  </si>
  <si>
    <t>FB0153</t>
  </si>
  <si>
    <t>FB0154</t>
  </si>
  <si>
    <t>FB0155</t>
  </si>
  <si>
    <t>FB0156</t>
  </si>
  <si>
    <t>FB0157</t>
  </si>
  <si>
    <t>FB0158</t>
  </si>
  <si>
    <t>FB0159</t>
  </si>
  <si>
    <t>FB0160</t>
  </si>
  <si>
    <t>FB0161</t>
  </si>
  <si>
    <t>FB0162</t>
  </si>
  <si>
    <t>FB0163</t>
  </si>
  <si>
    <t>FB0164</t>
  </si>
  <si>
    <t>FB0165</t>
  </si>
  <si>
    <t>FB0166</t>
  </si>
  <si>
    <t>FB0167</t>
  </si>
  <si>
    <t>FB0168</t>
  </si>
  <si>
    <t>FB0169</t>
  </si>
  <si>
    <t>FB0170</t>
  </si>
  <si>
    <t>FB0171</t>
  </si>
  <si>
    <t>FB0172</t>
  </si>
  <si>
    <t>FB0173</t>
  </si>
  <si>
    <t>FB0174</t>
  </si>
  <si>
    <t>FB0175</t>
  </si>
  <si>
    <t>FB0176</t>
  </si>
  <si>
    <t>FB0177</t>
  </si>
  <si>
    <t>FB0178</t>
  </si>
  <si>
    <t>FB0179</t>
  </si>
  <si>
    <t>FB0180</t>
  </si>
  <si>
    <t>FB0181</t>
  </si>
  <si>
    <t>FB0182</t>
  </si>
  <si>
    <t>FB0183</t>
  </si>
  <si>
    <t>FB0184</t>
  </si>
  <si>
    <t>FB0185</t>
  </si>
  <si>
    <t>FB0186</t>
  </si>
  <si>
    <t>FB0187</t>
  </si>
  <si>
    <t>FB0188</t>
  </si>
  <si>
    <t>FB0189</t>
  </si>
  <si>
    <t>FB0190</t>
  </si>
  <si>
    <t>FB0191</t>
  </si>
  <si>
    <t>FB0192</t>
  </si>
  <si>
    <t>FB0193</t>
  </si>
  <si>
    <t>FB0194</t>
  </si>
  <si>
    <t>FB0195</t>
  </si>
  <si>
    <t>FB0196</t>
  </si>
  <si>
    <t>FB0197</t>
  </si>
  <si>
    <t>FB0198</t>
  </si>
  <si>
    <t>FB0199</t>
  </si>
  <si>
    <t>FB0200</t>
  </si>
  <si>
    <t>FB0201</t>
  </si>
  <si>
    <t>FB0202</t>
  </si>
  <si>
    <t>FB0203</t>
  </si>
  <si>
    <t>FB0204</t>
  </si>
  <si>
    <t>FB0205</t>
  </si>
  <si>
    <t>FB0206</t>
  </si>
  <si>
    <t>FB0207</t>
  </si>
  <si>
    <t>FB0208</t>
  </si>
  <si>
    <t>FB0209</t>
  </si>
  <si>
    <t>FB0210</t>
  </si>
  <si>
    <t>FB0211</t>
  </si>
  <si>
    <t>FB0212</t>
  </si>
  <si>
    <t>FB0213</t>
  </si>
  <si>
    <t>FB0214</t>
  </si>
  <si>
    <t>FB0215</t>
  </si>
  <si>
    <t>FB0216</t>
  </si>
  <si>
    <t>FB0217</t>
  </si>
  <si>
    <t>FB0218</t>
  </si>
  <si>
    <t>FB0219</t>
  </si>
  <si>
    <t>FB0220</t>
  </si>
  <si>
    <t>FB0221</t>
  </si>
  <si>
    <t>FB0222</t>
  </si>
  <si>
    <t>FB0223</t>
  </si>
  <si>
    <t>FB0224</t>
  </si>
  <si>
    <t>FB0225</t>
  </si>
  <si>
    <t>FB0226</t>
  </si>
  <si>
    <t>FB0227</t>
  </si>
  <si>
    <t>FB0228</t>
  </si>
  <si>
    <t>FB0229</t>
  </si>
  <si>
    <t>FB0230</t>
  </si>
  <si>
    <t>FB0231</t>
  </si>
  <si>
    <t>FB0232</t>
  </si>
  <si>
    <t>FB0233</t>
  </si>
  <si>
    <t>FB0234</t>
  </si>
  <si>
    <t>FB0235</t>
  </si>
  <si>
    <t>FB0236</t>
  </si>
  <si>
    <t>FB0237</t>
  </si>
  <si>
    <t>FB0238</t>
  </si>
  <si>
    <t>FB0239</t>
  </si>
  <si>
    <t>FB0240</t>
  </si>
  <si>
    <t>FB0241</t>
  </si>
  <si>
    <t>FB0242</t>
  </si>
  <si>
    <t>FB0243</t>
  </si>
  <si>
    <t>FB0244</t>
  </si>
  <si>
    <t>FB0245</t>
  </si>
  <si>
    <t>FB0246</t>
  </si>
  <si>
    <t>FB0247</t>
  </si>
  <si>
    <t>FB0248</t>
  </si>
  <si>
    <t>FB0249</t>
  </si>
  <si>
    <t>FB0250</t>
  </si>
  <si>
    <t>FB0251</t>
  </si>
  <si>
    <t>FB0252</t>
  </si>
  <si>
    <t>FB0253</t>
  </si>
  <si>
    <t>FB0254</t>
  </si>
  <si>
    <t>FB0255</t>
  </si>
  <si>
    <t>FB0256</t>
  </si>
  <si>
    <t>FB0257</t>
  </si>
  <si>
    <t>FB0258</t>
  </si>
  <si>
    <t>FB0259</t>
  </si>
  <si>
    <t>FB0260</t>
  </si>
  <si>
    <t>FB0261</t>
  </si>
  <si>
    <t>FB0262</t>
  </si>
  <si>
    <t>FB0263</t>
  </si>
  <si>
    <t>FB0264</t>
  </si>
  <si>
    <t>FB0265</t>
  </si>
  <si>
    <t>FB0266</t>
  </si>
  <si>
    <t>FB0267</t>
  </si>
  <si>
    <t>FB0268</t>
  </si>
  <si>
    <t>FB0269</t>
  </si>
  <si>
    <t>FB0270</t>
  </si>
  <si>
    <t>FB0271</t>
  </si>
  <si>
    <t>FB0272</t>
  </si>
  <si>
    <t>FB0273</t>
  </si>
  <si>
    <t>FB0274</t>
  </si>
  <si>
    <t>FB0275</t>
  </si>
  <si>
    <t>FB0276</t>
  </si>
  <si>
    <t>FB0277</t>
  </si>
  <si>
    <t>FB0278</t>
  </si>
  <si>
    <t>FB0279</t>
  </si>
  <si>
    <t>FB0280</t>
  </si>
  <si>
    <t>FB0281</t>
  </si>
  <si>
    <t>FB0282</t>
  </si>
  <si>
    <t>FB0283</t>
  </si>
  <si>
    <t>FB0284</t>
  </si>
  <si>
    <t>FB0285</t>
  </si>
  <si>
    <t>FB0286</t>
  </si>
  <si>
    <t>FB0287</t>
  </si>
  <si>
    <t>FB0288</t>
  </si>
  <si>
    <t>FB0289</t>
  </si>
  <si>
    <t>FB0290</t>
  </si>
  <si>
    <t>FB0291</t>
  </si>
  <si>
    <t>FB0292</t>
  </si>
  <si>
    <t>FB0293</t>
  </si>
  <si>
    <t>FB0294</t>
  </si>
  <si>
    <t>FB0295</t>
  </si>
  <si>
    <t>FB0296</t>
  </si>
  <si>
    <t>FB0297</t>
  </si>
  <si>
    <t>FB0298</t>
  </si>
  <si>
    <t>FB0299</t>
  </si>
  <si>
    <t>FB0300</t>
  </si>
  <si>
    <t>sheet</t>
  </si>
  <si>
    <t>column</t>
  </si>
  <si>
    <t>data_type</t>
  </si>
  <si>
    <t>example_value</t>
  </si>
  <si>
    <t>non_empty_values</t>
  </si>
  <si>
    <t>distinct_values</t>
  </si>
  <si>
    <t>Training Feedback</t>
  </si>
  <si>
    <t>Text</t>
  </si>
  <si>
    <t>Date/time</t>
  </si>
  <si>
    <t>2025-06-06</t>
  </si>
  <si>
    <t>Whole number</t>
  </si>
  <si>
    <t>4</t>
  </si>
  <si>
    <t>3</t>
  </si>
  <si>
    <t>5</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</si>
  <si>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</si>
  <si>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</si>
  <si>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</si>
  <si>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</si>
  <si>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</si>
  <si>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</si>
  <si>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</si>
  <si>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</si>
  <si>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</si>
  <si>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</si>
  <si>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</si>
  <si>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</si>
  <si>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</si>
  <si>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</si>
  <si>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</si>
  <si>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'Training feedback analyser', list the first 3 steps to build it and what could go wrong.</t>
  </si>
  <si>
    <t>Clear steps, but assumed a column that does not exist</t>
  </si>
  <si>
    <t>Told it the exact column names and asked it to recheck</t>
  </si>
  <si>
    <t>Rejected</t>
  </si>
  <si>
    <t>screenshot_01.png</t>
  </si>
  <si>
    <t>Course</t>
  </si>
  <si>
    <t>Responses</t>
  </si>
  <si>
    <t>Pace</t>
  </si>
  <si>
    <t>Content Relevance</t>
  </si>
  <si>
    <t>Trainer Effectiveness</t>
  </si>
  <si>
    <t>Overall Score</t>
  </si>
  <si>
    <t xml:space="preserve">Pace </t>
  </si>
  <si>
    <t xml:space="preserve">Likely to Apply </t>
  </si>
  <si>
    <t xml:space="preserve">Theme	</t>
  </si>
  <si>
    <t>What Participants Said</t>
  </si>
  <si>
    <t xml:space="preserve">	Number of Comments</t>
  </si>
  <si>
    <t xml:space="preserve">	</t>
  </si>
  <si>
    <t>Recommended Action</t>
  </si>
  <si>
    <t>Content relevance</t>
  </si>
  <si>
    <t>Trainer effectiveness</t>
  </si>
  <si>
    <t>Pace of session</t>
  </si>
  <si>
    <t>Practical application</t>
  </si>
  <si>
    <t>Training Facilities &amp; Equipment</t>
  </si>
  <si>
    <t>Keep the session pace balanced and manage time better.</t>
  </si>
  <si>
    <t>Include more hands-on exercises and practical activities.</t>
  </si>
  <si>
    <t>Continue using real workplace examples.</t>
  </si>
  <si>
    <t>Adjust content difficulty for experienced participants and reduce theory.</t>
  </si>
  <si>
    <t>Check the room and test the projector before each session.</t>
  </si>
  <si>
    <t>Areas to Improve</t>
  </si>
  <si>
    <t xml:space="preserve">Trainer		</t>
  </si>
  <si>
    <t>Strengths</t>
  </si>
  <si>
    <t xml:space="preserve">Content Relevance			</t>
  </si>
  <si>
    <t>Likely to Apply</t>
  </si>
  <si>
    <t>ChatGPT</t>
  </si>
  <si>
    <t>Pace was just right; Session ran over time and felt rushed at the end</t>
  </si>
  <si>
    <t>Hands-on exercises were very useful; I can apply the Excel shortcuts from tomorrow; Too much theory, not enough practice</t>
  </si>
  <si>
    <t>The trainer used real examples from our work</t>
  </si>
  <si>
    <t>Content was too basic for experienced staff</t>
  </si>
  <si>
    <t>Room was noisy and the projector kept failing</t>
  </si>
  <si>
    <t>Content relevance scored 3.79; participants rated trainer effectiveness 3.58.</t>
  </si>
  <si>
    <t>Trainer effectiveness and pace scored lower than content relevance.</t>
  </si>
  <si>
    <t>Use more interactive exercises and check understanding throughout the session.</t>
  </si>
  <si>
    <t>Pace scored 3.73, and trainer effectiveness scored 3.63.</t>
  </si>
  <si>
    <t>Likely to apply scored 3.63; strengthen the link between training and workplace application.</t>
  </si>
  <si>
    <t>Include practical activities and examples that participants can use at work.</t>
  </si>
  <si>
    <t>Likely to apply scored 3.78, and pace scored 3.78.</t>
  </si>
  <si>
    <t>Trainer effectiveness scored 3.65, the lowest of the four rating dimensions.</t>
  </si>
  <si>
    <t>Improve delivery and participant engagement by encouraging questions, checking understanding, and using interactive activities.</t>
  </si>
  <si>
    <r>
      <rPr>
        <b/>
        <sz val="10"/>
        <rFont val="Arial"/>
        <family val="2"/>
      </rPr>
      <t>Note</t>
    </r>
    <r>
      <rPr>
        <sz val="10"/>
        <rFont val="Arial"/>
        <family val="2"/>
      </rPr>
      <t>: A single feedback response may mention more than one theme. Therefore, the total number of comments across themes may exceed the total number of feedback responses (300).</t>
    </r>
  </si>
  <si>
    <t>Total Responses</t>
  </si>
  <si>
    <t>Number of Courses</t>
  </si>
  <si>
    <t>Number of Trainers</t>
  </si>
  <si>
    <t>Key Findings</t>
  </si>
  <si>
    <t>Highest-rated Course</t>
  </si>
  <si>
    <t>Lowest-rated Course</t>
  </si>
  <si>
    <t>Improvement Priority</t>
  </si>
  <si>
    <t>Review GenAI for Managers' content and practical application.</t>
  </si>
  <si>
    <t>Response ID</t>
  </si>
  <si>
    <t>Participant Comment</t>
  </si>
  <si>
    <t>AI-Generated Theme(s)</t>
  </si>
  <si>
    <t>Manually Assigned Theme(s)</t>
  </si>
  <si>
    <t>Validation Result</t>
  </si>
  <si>
    <t>Reason for Mismatch</t>
  </si>
  <si>
    <t>Validation Sample?</t>
  </si>
  <si>
    <t>Pace of Session; Practical Application</t>
  </si>
  <si>
    <t>Trainer Effectiveness; Pace of Session</t>
  </si>
  <si>
    <t>Practical Application</t>
  </si>
  <si>
    <t>Pace of Session</t>
  </si>
  <si>
    <t>Content Relevance; Training Facilities &amp; Equipment</t>
  </si>
  <si>
    <t>Trainer Effectiveness; Practical Application</t>
  </si>
  <si>
    <t>Content Relevance; Practical Application</t>
  </si>
  <si>
    <t>Content Relevance; Pace of Session</t>
  </si>
  <si>
    <t>Practical Application; Training Facilities &amp; Equipment</t>
  </si>
  <si>
    <t>Pace of Session; Training Facilities &amp; Equipment</t>
  </si>
  <si>
    <t>Pace Of Session, Practical Application</t>
  </si>
  <si>
    <t>Trainer Effectiveness, Practical Application</t>
  </si>
  <si>
    <t>Pace Of Session</t>
  </si>
  <si>
    <t>Content Relevance, Training Facilities &amp; Equipment</t>
  </si>
  <si>
    <t>Pace of Session, Practical Application</t>
  </si>
  <si>
    <t>Trainer Effectiveness, Pace of Session</t>
  </si>
  <si>
    <t>Practical Application, Trainer Effectiveness</t>
  </si>
  <si>
    <t>Practical Application, Pace of Session</t>
  </si>
  <si>
    <t>Practical Application, Content Relevance</t>
  </si>
  <si>
    <t xml:space="preserve">Practical Application, </t>
  </si>
  <si>
    <t>Pace of Session, Content Relevance</t>
  </si>
  <si>
    <t>Training Facilities &amp; Equipment, Content Relevance</t>
  </si>
  <si>
    <t>Pace of Session, Trainer Effectiveness</t>
  </si>
  <si>
    <t>Match</t>
  </si>
  <si>
    <t>Yes</t>
  </si>
  <si>
    <t>Validation metric</t>
  </si>
  <si>
    <t>Result</t>
  </si>
  <si>
    <t>Total feedback comments</t>
  </si>
  <si>
    <t>Comments manually checked</t>
  </si>
  <si>
    <t>Exact-match results</t>
  </si>
  <si>
    <t>Exact-match accuracy</t>
  </si>
  <si>
    <t>Overall Average</t>
  </si>
  <si>
    <t>Course Redesign Rank</t>
  </si>
  <si>
    <t>Course Redesign Priority</t>
  </si>
  <si>
    <t>ChatGPT 5.6 Luna</t>
  </si>
  <si>
    <t>Default settings; workbook context used where applicable</t>
  </si>
  <si>
    <t>Analyse my T45_Training_feedback_analyzer.xlsx dataset for the Training Feedback Analyser project. Identify the number of records, columns, data types, rating fields, comment field, unique courses, trainers, training modes, missing values and duplicate records. Summarise the dataset structure and explain what insights can be derived from it.</t>
  </si>
  <si>
    <t>https://chatgpt.com/s/t_6ac924065edc8191839fe6988466a2e4</t>
  </si>
  <si>
    <t>Kept</t>
  </si>
  <si>
    <t>Examine the training feedback dataset for data quality issues, including missing comments, inconsistent category names, invalid ratings, duplicate feedback IDs and date-format inconsistencies. Recommend appropriate handling methods without modifying or inventing any source records.</t>
  </si>
  <si>
    <t>https://chatgpt.com/s/t_6ac9258c3f7c819198a4ebae49dbecda</t>
  </si>
  <si>
    <t>Based on the Training Feedback Analyser project, define its main objectives, intended users, functional requirements and expected deliverables. Include feedback analysis, rating summaries, course and trainer comparisons, sentiment classification, comment themes, filters and AI classification verification.</t>
  </si>
  <si>
    <t>https://chatgpt.com/s/t_6ac925babb3c81918b6345a40b64597a</t>
  </si>
  <si>
    <t>Recommend meaningful KPIs for a training feedback dashboard using the available dataset. Consider total responses, average overall rating, number of courses analysed, negative comment count, sentiment distribution and course-level performance. Explain the calculation and interpretation of each KPI and identify any data fields required.</t>
  </si>
  <si>
    <t>https://chatgpt.com/s/t_6ac926258d008191b94c893054fcb614</t>
  </si>
  <si>
    <t>Design a sentiment classification methodology for written training feedback. Categorise comments as Positive, Negative or Neutral based on their wording, not their numerical ratings. Define classification rules for praise, complaints, factual statements, mixed opinions and ambiguous comments. Provide illustrative examples for each category.</t>
  </si>
  <si>
    <t>Create a reliable prompt for Gemini to classify training feedback comments into Positive, Negative or Neutral and identify a concise comment theme, summary and suggested action. Require structured JSON output, preserve comment-to-record mapping, avoid using ratings to infer sentiment, and never invent comments or classifications unsupported by the text.</t>
  </si>
  <si>
    <t>Recommend an approach for classifying repeated comments efficiently in the 300-record training feedback dataset. Explain how to identify unique comment texts, classify each unique text once, map the resulting labels back to all matching feedback records, preserve record IDs and handle blank comments safely.</t>
  </si>
  <si>
    <t>Plan a React-based Training Feedback Analyser using Vite, Chart.js, react-chartjs-2 and Papa Parse. The application should accept a user-uploaded CSV, process the data in the browser, display analytical KPIs and charts, support filtering, analyse comments and provide AI verification. Propose a suitable component structure and explain the purpose of each main file.</t>
  </si>
  <si>
    <t>Design a clean, professional and responsive React dashboard for the Training Feedback Analyser. Include sidebar navigation, CSV upload, KPI cards, course performance, comment analysis, AI verification and feedback records. Use a consistent colour palette, readable typography, clear chart labels, responsive layouts and accessible controls.</t>
  </si>
  <si>
    <t>Implement CSV upload in React using Papa Parse. Read the uploaded file, recognise the feedback ID, course, trainer, date, training mode, rating fields and comments column, handle common header variations and invalid rows, and update the dashboard dynamically. Do not hardcode the 300 source records or require a sentiment column in the original input file.</t>
  </si>
  <si>
    <t>Implement dynamic dashboard calculations for response count, average rating, course comparisons and sentiment summaries. Add filters for course, trainer, training mode, sentiment and date range. Ensure that KPI cards, charts, insights and feedback tables respond consistently to active filters and handle missing values without producing misleading results.</t>
  </si>
  <si>
    <t>Integrate Gemini-based comment classification into the React Training Feedback Analyser using a secure serverless API endpoint. Read the API key from a server-side environment variable, send comments in manageable batches, validate the JSON response, map predictions back to the correct records, handle API failures and keep the API key out of frontend code. The original CSV must remain unchanged.</t>
  </si>
  <si>
    <t>Design an in-app manual verification workflow for the Training Feedback Analyser. Randomly select up to 50 comments with AI predictions, allow the user to independently assign a manual sentiment and optional theme, compare human labels against AI predictions, calculate accuracy and display incorrect classifications. Do not use AI-generated labels as ground truth or require changes to the original CSV.</t>
  </si>
  <si>
    <t>Help troubleshoot the React Training Feedback Analyser when CSV uploads work but AI sentiment labels are missing, the verification dashboard is empty, or the Gemini API returns HTTP 404 or 502 errors. Check the API route, model availability, server-side environment variables, Vercel deployment configuration, production build command, response parsing and error handling. Recommend targeted code changes without unnecessarily rewriting working components.</t>
  </si>
  <si>
    <t>Prepare a deployment and testing checklist for the React Training Feedback Analyser using GitHub and Vercel. Verify the production build, serverless API route, environment variables, CSV upload, sentiment classification, filters, chart updates, manual verification accuracy, error messages and responsive design. Include expected results, common failure scenarios and steps for resolving deployment issues.</t>
  </si>
  <si>
    <t>https://chatgpt.com/s/t_6ac92812f0b88191a43b58f26998542a</t>
  </si>
  <si>
    <t>https://chatgpt.com/s/t_6ac92825e3308191aa7ffc34cca12214</t>
  </si>
  <si>
    <t>https://chatgpt.com/s/t_6ac9284e4bdc81919a8752c9fd4efad6</t>
  </si>
  <si>
    <t>https://chatgpt.com/s/m_6ac9285ab1a081918b769c446215e7e1</t>
  </si>
  <si>
    <t>https://chatgpt.com/s/t_6ac9286775348191b97085e9e24db980</t>
  </si>
  <si>
    <t>https://chatgpt.com/s/t_6ac928b2f76881918fb6940355f1228b</t>
  </si>
  <si>
    <t>https://chatgpt.com/s/t_6ac928c1d2f48191b66b13ee40937f75</t>
  </si>
  <si>
    <t>https://chatgpt.com/s/t_6ac928cdaec48191957ff6ce64a38051</t>
  </si>
  <si>
    <t>https://chatgpt.com/s/t_6ac928eb59f48191a6fbb2508f293f33</t>
  </si>
  <si>
    <t>The prompt was specific and requested a broad dataset profile, so it helped establish the analysis scope. The findings still need to be checked against the actual workbook; any counts or data types should not be accepted without verification.</t>
  </si>
  <si>
    <t>I checked the dataset structure and field names against the supplied workbook, then used the confirmed fields for later prompts. This reduces the risk of building charts or calculations around columns that do not exist.</t>
  </si>
  <si>
    <t>It focused on practical data-quality risks and explicitly said not to invent or alter source records. The recommendations were useful as a checklist, but potential issues should be distinguished from issues actually found in the file.</t>
  </si>
  <si>
    <t>I kept the original records unchanged and checked each suggested issue against the available columns and values. I would only clean or exclude records when the problem is confirmed and the handling decision can be documented.</t>
  </si>
  <si>
    <t>It translated the assignment into clear objectives, users, features and deliverables, including sentiment analysis and verification. Some requirements could be broader than what the supplied dataset or final implementation can support.</t>
  </si>
  <si>
    <t>I aligned the feature list with the actual dataset and the project rubric, separating features that can be calculated directly from the data from AI-assisted features that need testing. This keeps the scope realistic and traceable.</t>
  </si>
  <si>
    <t>It suggested useful dashboard KPIs and asked for both calculation methods and interpretation. Some metrics depend on the availability and quality of specific fields, so the formulas could be misleading if applied to missing or non-numeric values.</t>
  </si>
  <si>
    <t>I mapped each KPI to an existing dataset field and checked how blanks should be handled. I retained only metrics that can be calculated from the available data and made the calculation basis explicit.</t>
  </si>
  <si>
    <t>It established text-based Positive, Negative and Neutral rules and addressed mixed or ambiguous comments. Rule-based examples may not cover every context, sarcasm or comments with both praise and criticism.</t>
  </si>
  <si>
    <t>I used the categories as a consistent starting rubric and treated unclear or mixed comments cautiously rather than relying on numerical ratings. This makes the sentiment decision easier to explain during manual verification.</t>
  </si>
  <si>
    <t>It emphasized structured JSON, preserving record mapping and avoiding unsupported claims. A prompt alone cannot guarantee valid JSON or correct labels, and the model may still omit fields or misclassify ambiguous text.</t>
  </si>
  <si>
    <t>I used the structured output requirements in the AI integration and planned to validate the response before displaying it. This helps prevent malformed responses or labels from being attached to the wrong feedback records.</t>
  </si>
  <si>
    <t>It offered an efficient way to avoid classifying identical comment text repeatedly while preserving IDs and handling blanks. Repeated wording may have different context across records, and blank comments must not be assigned an invented sentiment.</t>
  </si>
  <si>
    <t>I treated unique-text classification as an efficiency option, preserved the original record IDs when mapping results back, and kept blank comments separate. This reduces duplicate work without changing the source dataset.</t>
  </si>
  <si>
    <t>It provided a sensible React/Vite component plan and named relevant libraries for CSV parsing and charts. The architecture was a starting proposal rather than a tested application, so integration details and library compatibility still needed checking.</t>
  </si>
  <si>
    <t>I used the proposed structure as a guide, then adapted it to the files and components in the actual project. I tested the app incrementally so that upload, calculations, charts and AI features could be debugged separately.</t>
  </si>
  <si>
    <t>It described a professional dashboard layout and covered the main user tasks, readability and responsiveness. Visual guidance by itself does not confirm that controls work or that the design remains usable on small screens.</t>
  </si>
  <si>
    <t>I implemented the layout in React and checked it against the actual dashboard workflow. I adjusted spacing and responsive behaviour where needed so upload, KPIs, charts and feedback records remain accessible.</t>
  </si>
  <si>
    <t>It covered CSV parsing, header variations, invalid rows and dynamic updates, while explicitly avoiding hardcoded source records. Header matching can still fail with unexpected names, and malformed files require clear feedback rather than silent omission.</t>
  </si>
  <si>
    <t>I tested the upload flow with the expected dataset and reviewed how headers, missing values and invalid rows are handled. I kept the app data-driven and added or refined validation where errors could otherwise produce empty or incorrect results.</t>
  </si>
  <si>
    <t>The output produced exactly what was required so no changes were made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</si>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</sst>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0"/>
      <name val="Arial"/>
      <charset val="1"/>
    </font>
    <font>
      <sz val="11"/>
      <color theme="1"/>
      <name val="Calibri"/>
      <family val="2"/>
      <scheme val="minor"/>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
      <b/>
      <sz val="11"/>
      <color theme="1"/>
      <name val="Calibri"/>
      <family val="2"/>
      <scheme val="minor"/>
    </font>
    <font>
      <sz val="10"/>
      <name val="Arial"/>
      <family val="2"/>
    </font>
    <font>
      <b/>
      <sz val="10"/>
      <name val="Arial"/>
      <family val="2"/>
    </font>
    <font>
      <u/>
      <sz val="10"/>
      <color theme="10"/>
      <name val="Arial"/>
      <family val="2"/>
    </font>
    <font>
      <b/>
      <sz val="11"/>
      <name val="Calibri"/>
      <family val="2"/>
    </font>
    <font>
      <sz val="12"/>
      <name val="Aptos"/>
      <family val="2"/>
    </font>
    <font>
      <sz val="11"/>
      <name val="Arial"/>
      <family val="2"/>
    </font>
  </fonts>
  <fills count="5">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s>
  <borders count="3">
    <border>
      <left/>
      <right/>
      <top/>
      <bottom/>
      <diagonal/>
    </border>
    <border>
      <left style="thin">
        <color rgb="FFC9D3D6"/>
      </left>
      <right style="thin">
        <color rgb="FFC9D3D6"/>
      </right>
      <top style="thin">
        <color rgb="FFC9D3D6"/>
      </top>
      <bottom style="thin">
        <color rgb="FFC9D3D6"/>
      </bottom>
      <diagonal/>
    </border>
    <border>
      <left/>
      <right/>
      <top/>
      <bottom style="thin">
        <color rgb="FFD9E1F2"/>
      </bottom>
      <diagonal/>
    </border>
  </borders>
  <cellStyleXfs count="4">
    <xf numFmtId="0" fontId="0" fillId="0" borderId="0"/>
    <xf numFmtId="0" fontId="13" fillId="0" borderId="0" applyNumberFormat="0" applyFill="0" applyBorder="0" applyAlignment="0" applyProtection="0"/>
    <xf numFmtId="0" fontId="1" fillId="0" borderId="0"/>
    <xf numFmtId="0" fontId="11" fillId="0" borderId="0"/>
  </cellStyleXfs>
  <cellXfs count="45">
    <xf numFmtId="0" fontId="0" fillId="0" borderId="0" xfId="0"/>
    <xf numFmtId="0" fontId="2" fillId="0" borderId="0" xfId="0" applyFont="1"/>
    <xf numFmtId="0" fontId="3" fillId="0" borderId="0" xfId="0" applyFont="1"/>
    <xf numFmtId="0" fontId="4" fillId="2" borderId="1" xfId="0" applyFont="1" applyFill="1" applyBorder="1" applyAlignment="1">
      <alignment vertical="top" wrapText="1"/>
    </xf>
    <xf numFmtId="0" fontId="0" fillId="0" borderId="1" xfId="0" applyBorder="1" applyAlignment="1">
      <alignment vertical="top" wrapText="1"/>
    </xf>
    <xf numFmtId="0" fontId="5" fillId="0" borderId="0" xfId="0" applyFont="1"/>
    <xf numFmtId="0" fontId="6" fillId="3" borderId="1" xfId="0" applyFont="1" applyFill="1" applyBorder="1" applyAlignment="1">
      <alignment vertical="center" wrapText="1"/>
    </xf>
    <xf numFmtId="0" fontId="7" fillId="0" borderId="1" xfId="0" applyFont="1" applyBorder="1" applyAlignment="1">
      <alignment vertical="top" wrapText="1"/>
    </xf>
    <xf numFmtId="0" fontId="4" fillId="0" borderId="0" xfId="0" applyFont="1"/>
    <xf numFmtId="164" fontId="7" fillId="0" borderId="0" xfId="0" applyNumberFormat="1" applyFont="1"/>
    <xf numFmtId="0" fontId="7" fillId="0" borderId="0" xfId="0" applyFont="1" applyAlignment="1">
      <alignment vertical="top" wrapText="1"/>
    </xf>
    <xf numFmtId="0" fontId="8" fillId="0" borderId="0" xfId="0" applyFont="1"/>
    <xf numFmtId="0" fontId="9" fillId="0" borderId="1" xfId="0" applyFont="1" applyBorder="1" applyAlignment="1">
      <alignment vertical="top" wrapText="1"/>
    </xf>
    <xf numFmtId="164" fontId="9" fillId="0" borderId="1" xfId="0" applyNumberFormat="1" applyFont="1" applyBorder="1" applyAlignment="1">
      <alignment vertical="top" wrapText="1"/>
    </xf>
    <xf numFmtId="164" fontId="7" fillId="4" borderId="1" xfId="0" applyNumberFormat="1" applyFont="1" applyFill="1" applyBorder="1" applyAlignment="1">
      <alignment vertical="top" wrapText="1"/>
    </xf>
    <xf numFmtId="0" fontId="7" fillId="4" borderId="1" xfId="0" applyFont="1" applyFill="1" applyBorder="1" applyAlignment="1">
      <alignment vertical="top" wrapText="1"/>
    </xf>
    <xf numFmtId="0" fontId="0" fillId="0" borderId="0" xfId="0" applyAlignment="1">
      <alignment horizontal="center"/>
    </xf>
    <xf numFmtId="0" fontId="11" fillId="0" borderId="0" xfId="0" applyFont="1"/>
    <xf numFmtId="2" fontId="0" fillId="0" borderId="0" xfId="0" applyNumberFormat="1"/>
    <xf numFmtId="0" fontId="12" fillId="0" borderId="0" xfId="0" applyFont="1"/>
    <xf numFmtId="0" fontId="12" fillId="0" borderId="0" xfId="0" applyFont="1" applyAlignment="1">
      <alignment horizontal="left"/>
    </xf>
    <xf numFmtId="0" fontId="0" fillId="0" borderId="0" xfId="0" applyAlignment="1">
      <alignment horizontal="left"/>
    </xf>
    <xf numFmtId="0" fontId="11" fillId="0" borderId="0" xfId="0" applyFont="1" applyAlignment="1">
      <alignment horizontal="left"/>
    </xf>
    <xf numFmtId="2" fontId="0" fillId="0" borderId="0" xfId="0" applyNumberFormat="1" applyAlignment="1">
      <alignment horizontal="left"/>
    </xf>
    <xf numFmtId="0" fontId="11" fillId="0" borderId="2" xfId="3" applyBorder="1" applyAlignment="1">
      <alignment vertical="top" wrapText="1"/>
    </xf>
    <xf numFmtId="0" fontId="11" fillId="0" borderId="2" xfId="3" applyBorder="1" applyAlignment="1">
      <alignment vertical="top" wrapText="1"/>
    </xf>
    <xf numFmtId="0" fontId="11" fillId="0" borderId="2" xfId="3" applyBorder="1" applyAlignment="1">
      <alignment vertical="top" wrapText="1"/>
    </xf>
    <xf numFmtId="0" fontId="11" fillId="0" borderId="2" xfId="3" applyBorder="1" applyAlignment="1">
      <alignment vertical="top" wrapText="1"/>
    </xf>
    <xf numFmtId="0" fontId="11" fillId="0" borderId="2" xfId="3" applyBorder="1" applyAlignment="1">
      <alignment vertical="top" wrapText="1"/>
    </xf>
    <xf numFmtId="0" fontId="1" fillId="0" borderId="0" xfId="2"/>
    <xf numFmtId="0" fontId="1" fillId="0" borderId="2" xfId="2" applyBorder="1" applyAlignment="1">
      <alignment vertical="top" wrapText="1"/>
    </xf>
    <xf numFmtId="0" fontId="11" fillId="0" borderId="0" xfId="0" applyFont="1" applyAlignment="1">
      <alignment horizontal="left"/>
    </xf>
    <xf numFmtId="0" fontId="0" fillId="0" borderId="0" xfId="0" applyAlignment="1">
      <alignment horizontal="left"/>
    </xf>
    <xf numFmtId="0" fontId="16" fillId="0" borderId="0" xfId="0" applyFont="1"/>
    <xf numFmtId="0" fontId="15" fillId="0" borderId="0" xfId="0" applyFont="1" applyAlignment="1">
      <alignment vertical="center" wrapText="1"/>
    </xf>
    <xf numFmtId="0" fontId="10" fillId="0" borderId="0" xfId="2" applyFont="1"/>
    <xf numFmtId="0" fontId="14" fillId="0" borderId="0" xfId="0" applyFont="1"/>
    <xf numFmtId="2" fontId="1" fillId="0" borderId="0" xfId="2" applyNumberFormat="1"/>
    <xf numFmtId="0" fontId="1" fillId="0" borderId="0" xfId="2" applyAlignment="1">
      <alignment vertical="top" wrapText="1"/>
    </xf>
    <xf numFmtId="0" fontId="1" fillId="0" borderId="0" xfId="2"/>
    <xf numFmtId="0" fontId="1" fillId="0" borderId="0" xfId="2" applyAlignment="1">
      <alignment vertical="top" wrapText="1"/>
    </xf>
    <xf numFmtId="10" fontId="11" fillId="0" borderId="0" xfId="0" applyNumberFormat="1" applyFont="1" applyAlignment="1">
      <alignment horizontal="left"/>
    </xf>
    <xf numFmtId="0" fontId="11" fillId="0" borderId="1" xfId="0" applyFont="1" applyBorder="1" applyAlignment="1">
      <alignment vertical="top" wrapText="1"/>
    </xf>
    <xf numFmtId="164" fontId="1" fillId="0" borderId="0" xfId="2" applyNumberFormat="1" applyAlignment="1">
      <alignment vertical="top" wrapText="1"/>
    </xf>
    <xf numFmtId="0" fontId="13" fillId="0" borderId="0" xfId="1" applyAlignment="1">
      <alignment vertical="top" wrapText="1"/>
    </xf>
  </cellXfs>
  <cellStyles count="4">
    <cellStyle name="Hyperlink" xfId="1" builtinId="8"/>
    <cellStyle name="Normal" xfId="0" builtinId="0"/>
    <cellStyle name="Normal 2" xfId="2" xr:uid="{A87CC17B-F0FD-4E47-9EEC-405841C1CBFB}"/>
    <cellStyle name="Normal 3" xfId="3" xr:uid="{CD20BBB3-15CE-4D6F-87C5-90CFAC9C4E4C}"/>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Training Score By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35722960003137"/>
          <c:y val="0.16708333333333336"/>
          <c:w val="0.81895626852613568"/>
          <c:h val="0.72088764946048411"/>
        </c:manualLayout>
      </c:layout>
      <c:barChart>
        <c:barDir val="bar"/>
        <c:grouping val="clustered"/>
        <c:varyColors val="0"/>
        <c:ser>
          <c:idx val="0"/>
          <c:order val="0"/>
          <c:tx>
            <c:strRef>
              <c:f>Dashboard!$B$1</c:f>
              <c:strCache>
                <c:ptCount val="1"/>
                <c:pt idx="0">
                  <c:v>Overall Score</c:v>
                </c:pt>
              </c:strCache>
            </c:strRef>
          </c:tx>
          <c:spPr>
            <a:solidFill>
              <a:schemeClr val="accent1"/>
            </a:solidFill>
            <a:ln>
              <a:noFill/>
            </a:ln>
            <a:effectLst/>
          </c:spPr>
          <c:invertIfNegative val="0"/>
          <c:cat>
            <c:strRef>
              <c:f>Dashboard!$A$2:$A$7</c:f>
              <c:strCache>
                <c:ptCount val="6"/>
                <c:pt idx="0">
                  <c:v>Advanced Excel</c:v>
                </c:pt>
                <c:pt idx="1">
                  <c:v>Consultative Selling</c:v>
                </c:pt>
                <c:pt idx="2">
                  <c:v>Data Storytelling</c:v>
                </c:pt>
                <c:pt idx="3">
                  <c:v>GenAI for Managers</c:v>
                </c:pt>
                <c:pt idx="4">
                  <c:v>Leadership Essentials</c:v>
                </c:pt>
                <c:pt idx="5">
                  <c:v>POSH Awareness</c:v>
                </c:pt>
              </c:strCache>
            </c:strRef>
          </c:cat>
          <c:val>
            <c:numRef>
              <c:f>Dashboard!$B$2:$B$7</c:f>
              <c:numCache>
                <c:formatCode>0.00</c:formatCode>
                <c:ptCount val="6"/>
                <c:pt idx="0">
                  <c:v>3.6812499999999999</c:v>
                </c:pt>
                <c:pt idx="1">
                  <c:v>3.6964285714285716</c:v>
                </c:pt>
                <c:pt idx="2">
                  <c:v>3.8382352941176467</c:v>
                </c:pt>
                <c:pt idx="3">
                  <c:v>3.5943396226415096</c:v>
                </c:pt>
                <c:pt idx="4">
                  <c:v>3.7393617021276597</c:v>
                </c:pt>
                <c:pt idx="5">
                  <c:v>3.608490566037736</c:v>
                </c:pt>
              </c:numCache>
            </c:numRef>
          </c:val>
          <c:extLst>
            <c:ext xmlns:c16="http://schemas.microsoft.com/office/drawing/2014/chart" uri="{C3380CC4-5D6E-409C-BE32-E72D297353CC}">
              <c16:uniqueId val="{00000000-6ED1-4C1B-A612-F44F4E2DD182}"/>
            </c:ext>
          </c:extLst>
        </c:ser>
        <c:dLbls>
          <c:showLegendKey val="0"/>
          <c:showVal val="0"/>
          <c:showCatName val="0"/>
          <c:showSerName val="0"/>
          <c:showPercent val="0"/>
          <c:showBubbleSize val="0"/>
        </c:dLbls>
        <c:gapWidth val="182"/>
        <c:axId val="1785586591"/>
        <c:axId val="1770661487"/>
      </c:barChart>
      <c:catAx>
        <c:axId val="178558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61487"/>
        <c:crosses val="autoZero"/>
        <c:auto val="1"/>
        <c:lblAlgn val="ctr"/>
        <c:lblOffset val="100"/>
        <c:noMultiLvlLbl val="0"/>
      </c:catAx>
      <c:valAx>
        <c:axId val="17706614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58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163830</xdr:rowOff>
    </xdr:from>
    <xdr:to>
      <xdr:col>4</xdr:col>
      <xdr:colOff>403860</xdr:colOff>
      <xdr:row>23</xdr:row>
      <xdr:rowOff>102870</xdr:rowOff>
    </xdr:to>
    <xdr:graphicFrame macro="">
      <xdr:nvGraphicFramePr>
        <xdr:cNvPr id="3" name="Chart 2">
          <a:extLst>
            <a:ext uri="{FF2B5EF4-FFF2-40B4-BE49-F238E27FC236}">
              <a16:creationId xmlns:a16="http://schemas.microsoft.com/office/drawing/2014/main" id="{0844FD6C-48F4-4F2C-CD8C-ABB052B08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https://chatgpt.com/s/t_6ac9284e4bdc81919a8752c9fd4efad6" TargetMode="External"/><Relationship Id="rId13" Type="http://schemas.openxmlformats.org/officeDocument/2006/relationships/hyperlink" Target="https://chatgpt.com/s/t_6ac928c1d2f48191b66b13ee40937f75" TargetMode="External"/><Relationship Id="rId3" Type="http://schemas.openxmlformats.org/officeDocument/2006/relationships/hyperlink" Target="https://chatgpt.com/s/t_6ac925babb3c81918b6345a40b64597a" TargetMode="External"/><Relationship Id="rId7" Type="http://schemas.openxmlformats.org/officeDocument/2006/relationships/hyperlink" Target="https://chatgpt.com/s/t_6ac92825e3308191aa7ffc34cca12214" TargetMode="External"/><Relationship Id="rId12" Type="http://schemas.openxmlformats.org/officeDocument/2006/relationships/hyperlink" Target="https://chatgpt.com/s/t_6ac928b2f76881918fb6940355f1228b" TargetMode="External"/><Relationship Id="rId2" Type="http://schemas.openxmlformats.org/officeDocument/2006/relationships/hyperlink" Target="https://chatgpt.com/s/t_6ac9258c3f7c819198a4ebae49dbecda" TargetMode="External"/><Relationship Id="rId1" Type="http://schemas.openxmlformats.org/officeDocument/2006/relationships/hyperlink" Target="https://chatgpt.com/s/t_6ac924065edc8191839fe6988466a2e4" TargetMode="External"/><Relationship Id="rId6" Type="http://schemas.openxmlformats.org/officeDocument/2006/relationships/hyperlink" Target="https://chatgpt.com/s/t_6ac92812f0b88191a43b58f26998542a" TargetMode="External"/><Relationship Id="rId11" Type="http://schemas.openxmlformats.org/officeDocument/2006/relationships/hyperlink" Target="https://chatgpt.com/s/t_6ac9286775348191b97085e9e24db980" TargetMode="External"/><Relationship Id="rId5" Type="http://schemas.openxmlformats.org/officeDocument/2006/relationships/hyperlink" Target="https://chatgpt.com/s/t_6ac92812f0b88191a43b58f26998542a" TargetMode="External"/><Relationship Id="rId15" Type="http://schemas.openxmlformats.org/officeDocument/2006/relationships/hyperlink" Target="https://chatgpt.com/s/t_6ac928eb59f48191a6fbb2508f293f33" TargetMode="External"/><Relationship Id="rId10" Type="http://schemas.openxmlformats.org/officeDocument/2006/relationships/hyperlink" Target="https://chatgpt.com/s/m_6ac9285ab1a081918b769c446215e7e1" TargetMode="External"/><Relationship Id="rId4" Type="http://schemas.openxmlformats.org/officeDocument/2006/relationships/hyperlink" Target="https://chatgpt.com/s/t_6ac926258d008191b94c893054fcb614" TargetMode="External"/><Relationship Id="rId9" Type="http://schemas.openxmlformats.org/officeDocument/2006/relationships/hyperlink" Target="https://chatgpt.com/s/t_6ac9284e4bdc81919a8752c9fd4efad6" TargetMode="External"/><Relationship Id="rId14" Type="http://schemas.openxmlformats.org/officeDocument/2006/relationships/hyperlink" Target="https://chatgpt.com/s/t_6ac928cdaec48191957ff6ce64a380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opLeftCell="A9" zoomScaleNormal="100" workbookViewId="0">
      <selection activeCell="B13" sqref="B13"/>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x14ac:dyDescent="0.3">
      <c r="A1" s="1" t="s">
        <v>0</v>
      </c>
    </row>
    <row r="2" spans="1:2" x14ac:dyDescent="0.25">
      <c r="A2" s="2" t="s">
        <v>1</v>
      </c>
    </row>
    <row r="4" spans="1:2" ht="18" customHeight="1" x14ac:dyDescent="0.25">
      <c r="A4" s="3" t="s">
        <v>2</v>
      </c>
      <c r="B4" s="4" t="s">
        <v>3</v>
      </c>
    </row>
    <row r="5" spans="1:2" ht="18" customHeight="1" x14ac:dyDescent="0.25">
      <c r="A5" s="3" t="s">
        <v>4</v>
      </c>
      <c r="B5" s="4" t="s">
        <v>5</v>
      </c>
    </row>
    <row r="6" spans="1:2" ht="18" customHeight="1" x14ac:dyDescent="0.25">
      <c r="A6" s="3" t="s">
        <v>6</v>
      </c>
      <c r="B6" s="4" t="s">
        <v>7</v>
      </c>
    </row>
    <row r="7" spans="1:2" ht="27.75" customHeight="1" x14ac:dyDescent="0.25">
      <c r="A7" s="3" t="s">
        <v>8</v>
      </c>
      <c r="B7" s="42" t="s">
        <v>9</v>
      </c>
    </row>
    <row r="8" spans="1:2" ht="55.5" customHeight="1" x14ac:dyDescent="0.25">
      <c r="A8" s="3" t="s">
        <v>10</v>
      </c>
      <c r="B8" s="4" t="s">
        <v>11</v>
      </c>
    </row>
    <row r="9" spans="1:2" ht="18" customHeight="1" x14ac:dyDescent="0.25">
      <c r="A9" s="3" t="s">
        <v>12</v>
      </c>
      <c r="B9" s="4" t="s">
        <v>13</v>
      </c>
    </row>
    <row r="10" spans="1:2" ht="27.75" customHeight="1" x14ac:dyDescent="0.25">
      <c r="A10" s="3" t="s">
        <v>14</v>
      </c>
      <c r="B10" s="4" t="s">
        <v>15</v>
      </c>
    </row>
    <row r="11" spans="1:2" ht="42" customHeight="1" x14ac:dyDescent="0.25">
      <c r="A11" s="3" t="s">
        <v>16</v>
      </c>
      <c r="B11" s="4" t="s">
        <v>17</v>
      </c>
    </row>
    <row r="12" spans="1:2" ht="18" customHeight="1" x14ac:dyDescent="0.25">
      <c r="A12" s="3" t="s">
        <v>18</v>
      </c>
      <c r="B12" s="4" t="s">
        <v>19</v>
      </c>
    </row>
    <row r="13" spans="1:2" ht="27.75" customHeight="1" x14ac:dyDescent="0.25">
      <c r="A13" s="3" t="s">
        <v>20</v>
      </c>
      <c r="B13" s="4" t="s">
        <v>21</v>
      </c>
    </row>
    <row r="14" spans="1:2" ht="42" customHeight="1" x14ac:dyDescent="0.25">
      <c r="A14" s="3" t="s">
        <v>22</v>
      </c>
      <c r="B14" s="4" t="s">
        <v>23</v>
      </c>
    </row>
    <row r="16" spans="1:2" ht="15.6" x14ac:dyDescent="0.3">
      <c r="A16" s="5" t="s">
        <v>24</v>
      </c>
    </row>
    <row r="17" spans="1:7" x14ac:dyDescent="0.25">
      <c r="A17" s="6" t="s">
        <v>25</v>
      </c>
      <c r="B17" s="6" t="s">
        <v>26</v>
      </c>
      <c r="C17" s="6" t="s">
        <v>27</v>
      </c>
      <c r="D17" s="6" t="s">
        <v>28</v>
      </c>
      <c r="E17" s="6" t="s">
        <v>29</v>
      </c>
      <c r="F17" s="6" t="s">
        <v>30</v>
      </c>
      <c r="G17" s="6" t="s">
        <v>31</v>
      </c>
    </row>
    <row r="18" spans="1:7" ht="42" customHeight="1" x14ac:dyDescent="0.25">
      <c r="A18" s="7" t="s">
        <v>32</v>
      </c>
      <c r="B18" s="7" t="s">
        <v>33</v>
      </c>
      <c r="C18" s="7">
        <v>8</v>
      </c>
      <c r="D18" s="7" t="s">
        <v>34</v>
      </c>
      <c r="E18" s="7" t="s">
        <v>35</v>
      </c>
      <c r="F18" s="7" t="s">
        <v>36</v>
      </c>
      <c r="G18" s="7" t="s">
        <v>37</v>
      </c>
    </row>
    <row r="19" spans="1:7" ht="42" customHeight="1" x14ac:dyDescent="0.25">
      <c r="A19" s="7" t="s">
        <v>38</v>
      </c>
      <c r="B19" s="7" t="s">
        <v>39</v>
      </c>
      <c r="C19" s="7">
        <v>7</v>
      </c>
      <c r="D19" s="7" t="s">
        <v>40</v>
      </c>
      <c r="E19" s="7" t="s">
        <v>41</v>
      </c>
      <c r="F19" s="7" t="s">
        <v>42</v>
      </c>
      <c r="G19" s="7" t="s">
        <v>43</v>
      </c>
    </row>
    <row r="20" spans="1:7" ht="42" customHeight="1" x14ac:dyDescent="0.25">
      <c r="A20" s="7" t="s">
        <v>44</v>
      </c>
      <c r="B20" s="7" t="s">
        <v>45</v>
      </c>
      <c r="C20" s="7">
        <v>5</v>
      </c>
      <c r="D20" s="7" t="s">
        <v>46</v>
      </c>
      <c r="E20" s="7" t="s">
        <v>47</v>
      </c>
      <c r="F20" s="7" t="s">
        <v>48</v>
      </c>
      <c r="G20" s="7" t="s">
        <v>49</v>
      </c>
    </row>
    <row r="21" spans="1:7" ht="42" customHeight="1" x14ac:dyDescent="0.25">
      <c r="A21" s="7" t="s">
        <v>50</v>
      </c>
      <c r="B21" s="7" t="s">
        <v>51</v>
      </c>
      <c r="C21" s="7">
        <v>6</v>
      </c>
      <c r="D21" s="7" t="s">
        <v>52</v>
      </c>
      <c r="E21" s="7" t="s">
        <v>53</v>
      </c>
      <c r="F21" s="7" t="s">
        <v>54</v>
      </c>
      <c r="G21" s="7" t="s">
        <v>55</v>
      </c>
    </row>
    <row r="22" spans="1:7" ht="42" customHeight="1" x14ac:dyDescent="0.25">
      <c r="A22" s="7" t="s">
        <v>56</v>
      </c>
      <c r="B22" s="7" t="s">
        <v>57</v>
      </c>
      <c r="C22" s="7">
        <v>4</v>
      </c>
      <c r="D22" s="7" t="s">
        <v>58</v>
      </c>
      <c r="E22" s="7" t="s">
        <v>59</v>
      </c>
      <c r="F22" s="7" t="s">
        <v>60</v>
      </c>
      <c r="G22" s="7" t="s">
        <v>55</v>
      </c>
    </row>
    <row r="23" spans="1:7" x14ac:dyDescent="0.25">
      <c r="A23" s="8" t="s">
        <v>61</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47F2-0D71-4B8B-ABB6-68C13CB430C2}">
  <dimension ref="A1:G7"/>
  <sheetViews>
    <sheetView workbookViewId="0">
      <selection activeCell="G7" sqref="G7"/>
    </sheetView>
  </sheetViews>
  <sheetFormatPr defaultRowHeight="13.2" x14ac:dyDescent="0.25"/>
  <cols>
    <col min="1" max="1" width="18.88671875" bestFit="1" customWidth="1"/>
    <col min="3" max="3" width="16.21875" bestFit="1" customWidth="1"/>
    <col min="4" max="4" width="18.33203125" bestFit="1" customWidth="1"/>
    <col min="5" max="5" width="17.77734375" bestFit="1" customWidth="1"/>
    <col min="6" max="6" width="13.44140625" bestFit="1" customWidth="1"/>
    <col min="7" max="7" width="11.88671875" bestFit="1" customWidth="1"/>
  </cols>
  <sheetData>
    <row r="1" spans="1:7" s="19" customFormat="1" x14ac:dyDescent="0.25">
      <c r="A1" s="19" t="s">
        <v>449</v>
      </c>
      <c r="B1" s="19" t="s">
        <v>450</v>
      </c>
      <c r="C1" s="19" t="s">
        <v>452</v>
      </c>
      <c r="D1" s="19" t="s">
        <v>453</v>
      </c>
      <c r="E1" s="19" t="s">
        <v>455</v>
      </c>
      <c r="F1" s="19" t="s">
        <v>456</v>
      </c>
      <c r="G1" s="19" t="s">
        <v>454</v>
      </c>
    </row>
    <row r="2" spans="1:7" x14ac:dyDescent="0.25">
      <c r="A2" t="s">
        <v>112</v>
      </c>
      <c r="B2">
        <f>COUNTIF('Training Feedback'!B:B,A2)</f>
        <v>40</v>
      </c>
      <c r="C2" s="18">
        <f>AVERAGEIF('Training Feedback'!B:B,A2,'Training Feedback'!F:F)</f>
        <v>3.8250000000000002</v>
      </c>
      <c r="D2" s="18">
        <f>AVERAGEIF('Training Feedback'!B:B,A2,'Training Feedback'!G:G)</f>
        <v>3.5</v>
      </c>
      <c r="E2" s="18">
        <f>AVERAGEIF('Training Feedback'!B:B,A2,'Training Feedback'!H:H)</f>
        <v>3.75</v>
      </c>
      <c r="F2" s="18">
        <f>AVERAGEIF('Training Feedback'!B:B,A2,'Training Feedback'!I:I)</f>
        <v>3.65</v>
      </c>
      <c r="G2" s="18">
        <f>AVERAGE(C2:F2)</f>
        <v>3.6812499999999999</v>
      </c>
    </row>
    <row r="3" spans="1:7" x14ac:dyDescent="0.25">
      <c r="A3" t="s">
        <v>85</v>
      </c>
      <c r="B3">
        <f>COUNTIF('Training Feedback'!B:B,A3)</f>
        <v>56</v>
      </c>
      <c r="C3" s="18">
        <f>AVERAGEIF('Training Feedback'!B:B,A3,'Training Feedback'!F:F)</f>
        <v>3.7321428571428572</v>
      </c>
      <c r="D3" s="18">
        <f>AVERAGEIF('Training Feedback'!B:B,A3,'Training Feedback'!G:G)</f>
        <v>3.5714285714285716</v>
      </c>
      <c r="E3" s="18">
        <f>AVERAGEIF('Training Feedback'!B:B,A3,'Training Feedback'!H:H)</f>
        <v>3.7857142857142856</v>
      </c>
      <c r="F3" s="18">
        <f>AVERAGEIF('Training Feedback'!B:B,A3,'Training Feedback'!I:I)</f>
        <v>3.6964285714285716</v>
      </c>
      <c r="G3" s="18">
        <f t="shared" ref="G3:G7" si="0">AVERAGE(C3:F3)</f>
        <v>3.6964285714285716</v>
      </c>
    </row>
    <row r="4" spans="1:7" x14ac:dyDescent="0.25">
      <c r="A4" t="s">
        <v>82</v>
      </c>
      <c r="B4">
        <f>COUNTIF('Training Feedback'!B:B,A4)</f>
        <v>51</v>
      </c>
      <c r="C4" s="18">
        <f>AVERAGEIF('Training Feedback'!B:B,A4,'Training Feedback'!F:F)</f>
        <v>3.9803921568627452</v>
      </c>
      <c r="D4" s="18">
        <f>AVERAGEIF('Training Feedback'!B:B,A4,'Training Feedback'!G:G)</f>
        <v>3.6470588235294117</v>
      </c>
      <c r="E4" s="18">
        <f>AVERAGEIF('Training Feedback'!B:B,A4,'Training Feedback'!H:H)</f>
        <v>3.7647058823529411</v>
      </c>
      <c r="F4" s="18">
        <f>AVERAGEIF('Training Feedback'!B:B,A4,'Training Feedback'!I:I)</f>
        <v>3.9607843137254903</v>
      </c>
      <c r="G4" s="18">
        <f t="shared" si="0"/>
        <v>3.8382352941176467</v>
      </c>
    </row>
    <row r="5" spans="1:7" x14ac:dyDescent="0.25">
      <c r="A5" t="s">
        <v>73</v>
      </c>
      <c r="B5">
        <f>COUNTIF('Training Feedback'!B:B,A5)</f>
        <v>53</v>
      </c>
      <c r="C5" s="18">
        <f>AVERAGEIF('Training Feedback'!B:B,A5,'Training Feedback'!F:F)</f>
        <v>3.641509433962264</v>
      </c>
      <c r="D5" s="18">
        <f>AVERAGEIF('Training Feedback'!B:B,A5,'Training Feedback'!G:G)</f>
        <v>3.6037735849056602</v>
      </c>
      <c r="E5" s="18">
        <f>AVERAGEIF('Training Feedback'!B:B,A5,'Training Feedback'!H:H)</f>
        <v>3.6037735849056602</v>
      </c>
      <c r="F5" s="18">
        <f>AVERAGEIF('Training Feedback'!B:B,A5,'Training Feedback'!I:I)</f>
        <v>3.5283018867924527</v>
      </c>
      <c r="G5" s="18">
        <f t="shared" si="0"/>
        <v>3.5943396226415096</v>
      </c>
    </row>
    <row r="6" spans="1:7" x14ac:dyDescent="0.25">
      <c r="A6" t="s">
        <v>78</v>
      </c>
      <c r="B6">
        <f>COUNTIF('Training Feedback'!B:B,A6)</f>
        <v>47</v>
      </c>
      <c r="C6" s="18">
        <f>AVERAGEIF('Training Feedback'!B:B,A6,'Training Feedback'!F:F)</f>
        <v>3.7021276595744679</v>
      </c>
      <c r="D6" s="18">
        <f>AVERAGEIF('Training Feedback'!B:B,A6,'Training Feedback'!G:G)</f>
        <v>3.7872340425531914</v>
      </c>
      <c r="E6" s="18">
        <f>AVERAGEIF('Training Feedback'!B:B,A6,'Training Feedback'!H:H)</f>
        <v>3.7872340425531914</v>
      </c>
      <c r="F6" s="18">
        <f>AVERAGEIF('Training Feedback'!B:B,A6,'Training Feedback'!I:I)</f>
        <v>3.6808510638297873</v>
      </c>
      <c r="G6" s="18">
        <f t="shared" si="0"/>
        <v>3.7393617021276597</v>
      </c>
    </row>
    <row r="7" spans="1:7" x14ac:dyDescent="0.25">
      <c r="A7" s="17" t="s">
        <v>89</v>
      </c>
      <c r="B7">
        <f>COUNTIF('Training Feedback'!B:B,A7)</f>
        <v>53</v>
      </c>
      <c r="C7" s="18">
        <f>AVERAGEIF('Training Feedback'!B:B,A7,'Training Feedback'!F:F)</f>
        <v>3.641509433962264</v>
      </c>
      <c r="D7" s="18">
        <f>AVERAGEIF('Training Feedback'!B:B,A7,'Training Feedback'!G:G)</f>
        <v>3.5849056603773586</v>
      </c>
      <c r="E7" s="18">
        <f>AVERAGEIF('Training Feedback'!B:B,A7,'Training Feedback'!H:H)</f>
        <v>3.6226415094339623</v>
      </c>
      <c r="F7" s="18">
        <f>AVERAGEIF('Training Feedback'!B:B,A7,'Training Feedback'!I:I)</f>
        <v>3.5849056603773586</v>
      </c>
      <c r="G7" s="18">
        <f t="shared" si="0"/>
        <v>3.608490566037736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96AE-8309-4CBC-B565-7CB4C977827C}">
  <dimension ref="A1:I7"/>
  <sheetViews>
    <sheetView workbookViewId="0">
      <selection activeCell="I12" sqref="I12"/>
    </sheetView>
  </sheetViews>
  <sheetFormatPr defaultRowHeight="13.2" x14ac:dyDescent="0.25"/>
  <cols>
    <col min="1" max="1" width="18.88671875" bestFit="1" customWidth="1"/>
    <col min="2" max="2" width="9.88671875" bestFit="1" customWidth="1"/>
    <col min="3" max="3" width="16.21875" bestFit="1" customWidth="1"/>
    <col min="4" max="4" width="18.33203125" bestFit="1" customWidth="1"/>
    <col min="6" max="6" width="12.77734375" bestFit="1" customWidth="1"/>
    <col min="7" max="7" width="13.77734375" bestFit="1" customWidth="1"/>
    <col min="8" max="8" width="19.88671875" bestFit="1" customWidth="1"/>
    <col min="9" max="9" width="21.77734375" bestFit="1" customWidth="1"/>
  </cols>
  <sheetData>
    <row r="1" spans="1:9" x14ac:dyDescent="0.25">
      <c r="A1" s="17" t="s">
        <v>449</v>
      </c>
      <c r="B1" t="s">
        <v>450</v>
      </c>
      <c r="C1" t="s">
        <v>452</v>
      </c>
      <c r="D1" t="s">
        <v>453</v>
      </c>
      <c r="E1" t="s">
        <v>451</v>
      </c>
      <c r="F1" t="s">
        <v>476</v>
      </c>
      <c r="G1" t="s">
        <v>539</v>
      </c>
      <c r="H1" t="s">
        <v>540</v>
      </c>
      <c r="I1" t="s">
        <v>541</v>
      </c>
    </row>
    <row r="2" spans="1:9" x14ac:dyDescent="0.25">
      <c r="A2" t="str">
        <f>'Course Scorecard'!A2</f>
        <v>Advanced Excel</v>
      </c>
      <c r="B2">
        <f>'Course Scorecard'!B2</f>
        <v>40</v>
      </c>
      <c r="C2" s="18">
        <f>'Course Scorecard'!C2</f>
        <v>3.8250000000000002</v>
      </c>
      <c r="D2" s="18">
        <f>'Course Scorecard'!D2</f>
        <v>3.5</v>
      </c>
      <c r="E2" s="18">
        <f>'Course Scorecard'!E2</f>
        <v>3.75</v>
      </c>
      <c r="F2" s="18">
        <f>'Course Scorecard'!F2</f>
        <v>3.65</v>
      </c>
      <c r="G2" s="18">
        <f>'Course Scorecard'!G2</f>
        <v>3.6812499999999999</v>
      </c>
      <c r="H2">
        <f>_xlfn.RANK.EQ(G2,$G$2:$G$7,1)</f>
        <v>3</v>
      </c>
      <c r="I2" t="str">
        <f>IF(H2&lt;=3,"High",IF(H2=4,"Medium","Low"))</f>
        <v>High</v>
      </c>
    </row>
    <row r="3" spans="1:9" x14ac:dyDescent="0.25">
      <c r="A3" t="str">
        <f>'Course Scorecard'!A3</f>
        <v>Consultative Selling</v>
      </c>
      <c r="B3">
        <f>'Course Scorecard'!B3</f>
        <v>56</v>
      </c>
      <c r="C3" s="18">
        <f>'Course Scorecard'!C3</f>
        <v>3.7321428571428572</v>
      </c>
      <c r="D3" s="18">
        <f>'Course Scorecard'!D3</f>
        <v>3.5714285714285716</v>
      </c>
      <c r="E3" s="18">
        <f>'Course Scorecard'!E3</f>
        <v>3.7857142857142856</v>
      </c>
      <c r="F3" s="18">
        <f>'Course Scorecard'!F3</f>
        <v>3.6964285714285716</v>
      </c>
      <c r="G3" s="18">
        <f>'Course Scorecard'!G3</f>
        <v>3.6964285714285716</v>
      </c>
      <c r="H3">
        <f t="shared" ref="H3:H7" si="0">_xlfn.RANK.EQ(G3,$G$2:$G$7,1)</f>
        <v>4</v>
      </c>
      <c r="I3" t="str">
        <f t="shared" ref="I3:I7" si="1">IF(H3&lt;=3,"High",IF(H3=4,"Medium","Low"))</f>
        <v>Medium</v>
      </c>
    </row>
    <row r="4" spans="1:9" x14ac:dyDescent="0.25">
      <c r="A4" t="str">
        <f>'Course Scorecard'!A4</f>
        <v>Data Storytelling</v>
      </c>
      <c r="B4">
        <f>'Course Scorecard'!B4</f>
        <v>51</v>
      </c>
      <c r="C4" s="18">
        <f>'Course Scorecard'!C4</f>
        <v>3.9803921568627452</v>
      </c>
      <c r="D4" s="18">
        <f>'Course Scorecard'!D4</f>
        <v>3.6470588235294117</v>
      </c>
      <c r="E4" s="18">
        <f>'Course Scorecard'!E4</f>
        <v>3.7647058823529411</v>
      </c>
      <c r="F4" s="18">
        <f>'Course Scorecard'!F4</f>
        <v>3.9607843137254903</v>
      </c>
      <c r="G4" s="18">
        <f>'Course Scorecard'!G4</f>
        <v>3.8382352941176467</v>
      </c>
      <c r="H4">
        <f t="shared" si="0"/>
        <v>6</v>
      </c>
      <c r="I4" t="str">
        <f t="shared" si="1"/>
        <v>Low</v>
      </c>
    </row>
    <row r="5" spans="1:9" x14ac:dyDescent="0.25">
      <c r="A5" t="str">
        <f>'Course Scorecard'!A5</f>
        <v>GenAI for Managers</v>
      </c>
      <c r="B5">
        <f>'Course Scorecard'!B5</f>
        <v>53</v>
      </c>
      <c r="C5" s="18">
        <f>'Course Scorecard'!C5</f>
        <v>3.641509433962264</v>
      </c>
      <c r="D5" s="18">
        <f>'Course Scorecard'!D5</f>
        <v>3.6037735849056602</v>
      </c>
      <c r="E5" s="18">
        <f>'Course Scorecard'!E5</f>
        <v>3.6037735849056602</v>
      </c>
      <c r="F5" s="18">
        <f>'Course Scorecard'!F5</f>
        <v>3.5283018867924527</v>
      </c>
      <c r="G5" s="18">
        <f>'Course Scorecard'!G5</f>
        <v>3.5943396226415096</v>
      </c>
      <c r="H5">
        <f t="shared" si="0"/>
        <v>1</v>
      </c>
      <c r="I5" t="str">
        <f t="shared" si="1"/>
        <v>High</v>
      </c>
    </row>
    <row r="6" spans="1:9" x14ac:dyDescent="0.25">
      <c r="A6" t="str">
        <f>'Course Scorecard'!A6</f>
        <v>Leadership Essentials</v>
      </c>
      <c r="B6">
        <f>'Course Scorecard'!B6</f>
        <v>47</v>
      </c>
      <c r="C6" s="18">
        <f>'Course Scorecard'!C6</f>
        <v>3.7021276595744679</v>
      </c>
      <c r="D6" s="18">
        <f>'Course Scorecard'!D6</f>
        <v>3.7872340425531914</v>
      </c>
      <c r="E6" s="18">
        <f>'Course Scorecard'!E6</f>
        <v>3.7872340425531914</v>
      </c>
      <c r="F6" s="18">
        <f>'Course Scorecard'!F6</f>
        <v>3.6808510638297873</v>
      </c>
      <c r="G6" s="18">
        <f>'Course Scorecard'!G6</f>
        <v>3.7393617021276597</v>
      </c>
      <c r="H6">
        <f t="shared" si="0"/>
        <v>5</v>
      </c>
      <c r="I6" t="str">
        <f t="shared" si="1"/>
        <v>Low</v>
      </c>
    </row>
    <row r="7" spans="1:9" x14ac:dyDescent="0.25">
      <c r="A7" t="str">
        <f>'Course Scorecard'!A7</f>
        <v>POSH Awareness</v>
      </c>
      <c r="B7">
        <f>'Course Scorecard'!B7</f>
        <v>53</v>
      </c>
      <c r="C7" s="18">
        <f>'Course Scorecard'!C7</f>
        <v>3.641509433962264</v>
      </c>
      <c r="D7" s="18">
        <f>'Course Scorecard'!D7</f>
        <v>3.5849056603773586</v>
      </c>
      <c r="E7" s="18">
        <f>'Course Scorecard'!E7</f>
        <v>3.6226415094339623</v>
      </c>
      <c r="F7" s="18">
        <f>'Course Scorecard'!F7</f>
        <v>3.5849056603773586</v>
      </c>
      <c r="G7" s="18">
        <f>'Course Scorecard'!G7</f>
        <v>3.608490566037736</v>
      </c>
      <c r="H7">
        <f t="shared" si="0"/>
        <v>2</v>
      </c>
      <c r="I7" t="str">
        <f t="shared" si="1"/>
        <v>High</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EB9EC-C596-4285-8CFB-8420D0297656}">
  <dimension ref="A1:F29"/>
  <sheetViews>
    <sheetView workbookViewId="0">
      <selection activeCell="E20" sqref="E20"/>
    </sheetView>
  </sheetViews>
  <sheetFormatPr defaultRowHeight="13.8" x14ac:dyDescent="0.25"/>
  <cols>
    <col min="1" max="1" width="30.21875" style="33" customWidth="1"/>
    <col min="2" max="2" width="52.33203125" bestFit="1" customWidth="1"/>
    <col min="4" max="4" width="14.33203125" bestFit="1" customWidth="1"/>
    <col min="5" max="5" width="16.88671875" bestFit="1" customWidth="1"/>
    <col min="6" max="6" width="16.77734375" bestFit="1" customWidth="1"/>
  </cols>
  <sheetData>
    <row r="1" spans="1:6" ht="14.4" x14ac:dyDescent="0.3">
      <c r="A1" s="36" t="s">
        <v>449</v>
      </c>
      <c r="B1" s="36" t="s">
        <v>454</v>
      </c>
      <c r="D1" s="29" t="s">
        <v>493</v>
      </c>
      <c r="E1" s="29" t="s">
        <v>494</v>
      </c>
      <c r="F1" s="29" t="s">
        <v>495</v>
      </c>
    </row>
    <row r="2" spans="1:6" ht="14.4" x14ac:dyDescent="0.3">
      <c r="A2" s="29" t="str">
        <f>'Course Scorecard'!A2</f>
        <v>Advanced Excel</v>
      </c>
      <c r="B2" s="37">
        <f>'Course Scorecard'!G2</f>
        <v>3.6812499999999999</v>
      </c>
      <c r="D2" s="29">
        <v>300</v>
      </c>
      <c r="E2" s="29">
        <v>6</v>
      </c>
      <c r="F2" s="29">
        <v>3</v>
      </c>
    </row>
    <row r="3" spans="1:6" ht="15.6" x14ac:dyDescent="0.3">
      <c r="A3" s="29" t="str">
        <f>'Course Scorecard'!A3</f>
        <v>Consultative Selling</v>
      </c>
      <c r="B3" s="37">
        <f>'Course Scorecard'!G3</f>
        <v>3.6964285714285716</v>
      </c>
      <c r="D3" s="34"/>
    </row>
    <row r="4" spans="1:6" ht="15.6" x14ac:dyDescent="0.3">
      <c r="A4" s="29" t="str">
        <f>'Course Scorecard'!A4</f>
        <v>Data Storytelling</v>
      </c>
      <c r="B4" s="37">
        <f>'Course Scorecard'!G4</f>
        <v>3.8382352941176467</v>
      </c>
      <c r="D4" s="34"/>
    </row>
    <row r="5" spans="1:6" ht="14.4" x14ac:dyDescent="0.3">
      <c r="A5" s="29" t="str">
        <f>'Course Scorecard'!A5</f>
        <v>GenAI for Managers</v>
      </c>
      <c r="B5" s="37">
        <f>'Course Scorecard'!G5</f>
        <v>3.5943396226415096</v>
      </c>
    </row>
    <row r="6" spans="1:6" ht="14.4" x14ac:dyDescent="0.3">
      <c r="A6" s="29" t="str">
        <f>'Course Scorecard'!A6</f>
        <v>Leadership Essentials</v>
      </c>
      <c r="B6" s="37">
        <f>'Course Scorecard'!G6</f>
        <v>3.7393617021276597</v>
      </c>
    </row>
    <row r="7" spans="1:6" ht="14.4" x14ac:dyDescent="0.3">
      <c r="A7" s="29" t="str">
        <f>'Course Scorecard'!A7</f>
        <v>POSH Awareness</v>
      </c>
      <c r="B7" s="37">
        <f>'Course Scorecard'!G7</f>
        <v>3.608490566037736</v>
      </c>
    </row>
    <row r="26" spans="1:2" ht="14.4" x14ac:dyDescent="0.3">
      <c r="A26" s="35" t="s">
        <v>496</v>
      </c>
    </row>
    <row r="27" spans="1:2" ht="14.4" x14ac:dyDescent="0.3">
      <c r="A27" s="35" t="s">
        <v>497</v>
      </c>
      <c r="B27" s="17" t="str">
        <f>INDEX(A2:A7,MATCH(MAX(B2:B7),B2:B7,0))&amp;" – "&amp;TEXT(MAX(B2:B7),"0.00")</f>
        <v>Data Storytelling – 3.84</v>
      </c>
    </row>
    <row r="28" spans="1:2" ht="14.4" x14ac:dyDescent="0.3">
      <c r="A28" s="35" t="s">
        <v>498</v>
      </c>
      <c r="B28" s="17" t="str">
        <f>INDEX(A2:A7,MATCH(MIN(B2:B7),B2:B7,0))&amp;" – "&amp;TEXT(MIN(B2:B7),"0.00")</f>
        <v>GenAI for Managers – 3.59</v>
      </c>
    </row>
    <row r="29" spans="1:2" ht="14.4" x14ac:dyDescent="0.3">
      <c r="A29" s="35" t="s">
        <v>499</v>
      </c>
      <c r="B29" s="17" t="s">
        <v>500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CAC3-CE08-4372-B3B0-14BA56BF0963}">
  <dimension ref="A1:E6"/>
  <sheetViews>
    <sheetView workbookViewId="0">
      <selection activeCell="B14" sqref="B14"/>
    </sheetView>
  </sheetViews>
  <sheetFormatPr defaultRowHeight="13.2" x14ac:dyDescent="0.25"/>
  <cols>
    <col min="1" max="1" width="66.21875" bestFit="1" customWidth="1"/>
    <col min="2" max="2" width="21.33203125" bestFit="1" customWidth="1"/>
    <col min="3" max="3" width="20.21875" style="21" bestFit="1" customWidth="1"/>
    <col min="4" max="4" width="60.109375" bestFit="1" customWidth="1"/>
  </cols>
  <sheetData>
    <row r="1" spans="1:5" s="19" customFormat="1" x14ac:dyDescent="0.25">
      <c r="A1" s="19" t="s">
        <v>457</v>
      </c>
      <c r="B1" s="19" t="s">
        <v>458</v>
      </c>
      <c r="C1" s="20" t="s">
        <v>459</v>
      </c>
      <c r="D1" s="19" t="s">
        <v>461</v>
      </c>
      <c r="E1" s="19" t="s">
        <v>460</v>
      </c>
    </row>
    <row r="2" spans="1:5" ht="26.4" x14ac:dyDescent="0.25">
      <c r="A2" s="17" t="s">
        <v>462</v>
      </c>
      <c r="B2" s="27" t="s">
        <v>481</v>
      </c>
      <c r="C2" s="21">
        <f>COUNTIF('Training Feedback'!J:J,"*Pace was just right*")+COUNTIF('Training Feedback'!J:J,"*ran over time*")</f>
        <v>120</v>
      </c>
      <c r="D2" s="17" t="s">
        <v>470</v>
      </c>
    </row>
    <row r="3" spans="1:5" ht="26.4" x14ac:dyDescent="0.25">
      <c r="A3" s="17" t="s">
        <v>463</v>
      </c>
      <c r="B3" s="26" t="s">
        <v>480</v>
      </c>
      <c r="C3" s="21">
        <f>COUNTIF('Training Feedback'!J:J,"*Hands-on exercises*")+COUNTIF('Training Feedback'!J:J,"*apply the Excel shortcuts*")</f>
        <v>125</v>
      </c>
      <c r="D3" s="17" t="s">
        <v>469</v>
      </c>
    </row>
    <row r="4" spans="1:5" ht="52.8" x14ac:dyDescent="0.25">
      <c r="A4" s="17" t="s">
        <v>464</v>
      </c>
      <c r="B4" s="24" t="s">
        <v>478</v>
      </c>
      <c r="C4" s="21">
        <f>COUNTIF('Training Feedback'!J:J,"*trainer used real examples*")</f>
        <v>73</v>
      </c>
      <c r="D4" s="17" t="s">
        <v>467</v>
      </c>
    </row>
    <row r="5" spans="1:5" ht="92.4" x14ac:dyDescent="0.25">
      <c r="A5" s="17" t="s">
        <v>465</v>
      </c>
      <c r="B5" s="25" t="s">
        <v>479</v>
      </c>
      <c r="C5" s="21">
        <f>COUNTIF('Training Feedback'!J:J,"*too basic*")+COUNTIF('Training Feedback'!J:J,"*Too much theory*")</f>
        <v>98</v>
      </c>
      <c r="D5" s="17" t="s">
        <v>468</v>
      </c>
    </row>
    <row r="6" spans="1:5" ht="26.4" x14ac:dyDescent="0.25">
      <c r="A6" s="17" t="s">
        <v>466</v>
      </c>
      <c r="B6" s="28" t="s">
        <v>482</v>
      </c>
      <c r="C6" s="22">
        <f>COUNTIF('Training Feedback'!J:J,"*Room was noisy*")</f>
        <v>39</v>
      </c>
      <c r="D6" s="17" t="s">
        <v>471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1A2CE-3BBD-44E2-B420-E41182BE976E}">
  <dimension ref="A1:H6"/>
  <sheetViews>
    <sheetView workbookViewId="0">
      <selection activeCell="B11" sqref="B11"/>
    </sheetView>
  </sheetViews>
  <sheetFormatPr defaultRowHeight="13.2" x14ac:dyDescent="0.25"/>
  <cols>
    <col min="1" max="1" width="17.44140625" customWidth="1"/>
    <col min="2" max="2" width="43.33203125" bestFit="1" customWidth="1"/>
    <col min="3" max="3" width="57.6640625" bestFit="1" customWidth="1"/>
    <col min="4" max="4" width="67.6640625" bestFit="1" customWidth="1"/>
    <col min="5" max="5" width="54.77734375" bestFit="1" customWidth="1"/>
    <col min="6" max="6" width="18.33203125" bestFit="1" customWidth="1"/>
    <col min="7" max="7" width="12.5546875" bestFit="1" customWidth="1"/>
    <col min="8" max="8" width="12.77734375" bestFit="1" customWidth="1"/>
  </cols>
  <sheetData>
    <row r="1" spans="1:8" x14ac:dyDescent="0.25">
      <c r="A1" s="17" t="s">
        <v>473</v>
      </c>
      <c r="B1" s="17" t="s">
        <v>474</v>
      </c>
      <c r="C1" s="17" t="s">
        <v>472</v>
      </c>
      <c r="D1" s="17" t="s">
        <v>461</v>
      </c>
      <c r="E1" s="17" t="s">
        <v>475</v>
      </c>
      <c r="F1" s="17" t="s">
        <v>453</v>
      </c>
      <c r="G1" s="17" t="s">
        <v>451</v>
      </c>
      <c r="H1" s="17" t="s">
        <v>476</v>
      </c>
    </row>
    <row r="2" spans="1:8" ht="28.8" x14ac:dyDescent="0.25">
      <c r="A2" s="30" t="s">
        <v>79</v>
      </c>
      <c r="B2" s="30" t="s">
        <v>483</v>
      </c>
      <c r="C2" s="30" t="s">
        <v>484</v>
      </c>
      <c r="D2" s="30" t="s">
        <v>485</v>
      </c>
      <c r="E2" s="23">
        <f>AVERAGEIF('Training Feedback'!C:C,A2,'Training Feedback'!F:F)</f>
        <v>3.7913043478260868</v>
      </c>
      <c r="F2" s="23">
        <f>AVERAGEIF('Training Feedback'!C:C,A2,'Training Feedback'!G:G)</f>
        <v>3.5826086956521741</v>
      </c>
      <c r="G2" s="23">
        <f>AVERAGEIF('Training Feedback'!C:C,A2,'Training Feedback'!H:H)</f>
        <v>3.652173913043478</v>
      </c>
      <c r="H2" s="23">
        <f>AVERAGEIF('Training Feedback'!C:C,A2,'Training Feedback'!I:I)</f>
        <v>3.652173913043478</v>
      </c>
    </row>
    <row r="3" spans="1:8" ht="28.8" x14ac:dyDescent="0.25">
      <c r="A3" s="30" t="s">
        <v>74</v>
      </c>
      <c r="B3" s="30" t="s">
        <v>486</v>
      </c>
      <c r="C3" s="30" t="s">
        <v>487</v>
      </c>
      <c r="D3" s="30" t="s">
        <v>488</v>
      </c>
      <c r="E3" s="23">
        <f>AVERAGEIF('Training Feedback'!C:C,A3,'Training Feedback'!F:F)</f>
        <v>3.7216494845360826</v>
      </c>
      <c r="F3" s="23">
        <f>AVERAGEIF('Training Feedback'!C:C,A3,'Training Feedback'!G:G)</f>
        <v>3.6288659793814433</v>
      </c>
      <c r="G3" s="23">
        <f>AVERAGEIF('Training Feedback'!C:C,A3,'Training Feedback'!H:H)</f>
        <v>3.731958762886598</v>
      </c>
      <c r="H3" s="23">
        <f>AVERAGEIF('Training Feedback'!C:C,A3,'Training Feedback'!I:I)</f>
        <v>3.6288659793814433</v>
      </c>
    </row>
    <row r="4" spans="1:8" ht="28.8" x14ac:dyDescent="0.25">
      <c r="A4" s="30" t="s">
        <v>96</v>
      </c>
      <c r="B4" s="30" t="s">
        <v>489</v>
      </c>
      <c r="C4" s="30" t="s">
        <v>490</v>
      </c>
      <c r="D4" s="30" t="s">
        <v>491</v>
      </c>
      <c r="E4" s="23">
        <f>AVERAGEIF('Training Feedback'!C:C,A4,'Training Feedback'!F:F)</f>
        <v>3.7272727272727271</v>
      </c>
      <c r="F4" s="23">
        <f>AVERAGEIF('Training Feedback'!C:C,A4,'Training Feedback'!G:G)</f>
        <v>3.6477272727272729</v>
      </c>
      <c r="G4" s="23">
        <f>AVERAGEIF('Training Feedback'!C:C,A4,'Training Feedback'!H:H)</f>
        <v>3.7840909090909092</v>
      </c>
      <c r="H4" s="23">
        <f>AVERAGEIF('Training Feedback'!C:C,A4,'Training Feedback'!I:I)</f>
        <v>3.7840909090909092</v>
      </c>
    </row>
    <row r="5" spans="1:8" x14ac:dyDescent="0.25">
      <c r="A5" s="31"/>
      <c r="B5" s="31"/>
      <c r="C5" s="31"/>
      <c r="D5" s="31"/>
      <c r="E5" s="31"/>
      <c r="F5" s="31"/>
      <c r="G5" s="31"/>
      <c r="H5" s="31"/>
    </row>
    <row r="6" spans="1:8" x14ac:dyDescent="0.25">
      <c r="A6" s="31" t="s">
        <v>492</v>
      </c>
      <c r="B6" s="32"/>
      <c r="C6" s="32"/>
      <c r="D6" s="32"/>
      <c r="E6" s="32"/>
      <c r="F6" s="32"/>
      <c r="G6" s="32"/>
      <c r="H6" s="32"/>
    </row>
  </sheetData>
  <mergeCells count="2">
    <mergeCell ref="A5:H5"/>
    <mergeCell ref="A6: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B7770-2366-4AA8-AAAC-0D4EBF43EF84}">
  <dimension ref="A1:G312"/>
  <sheetViews>
    <sheetView topLeftCell="A231" workbookViewId="0">
      <selection activeCell="B310" sqref="B310"/>
    </sheetView>
  </sheetViews>
  <sheetFormatPr defaultRowHeight="13.2" x14ac:dyDescent="0.25"/>
  <cols>
    <col min="1" max="1" width="25" bestFit="1" customWidth="1"/>
    <col min="2" max="2" width="79.88671875" bestFit="1" customWidth="1"/>
    <col min="3" max="3" width="21.44140625" bestFit="1" customWidth="1"/>
    <col min="4" max="4" width="43.21875" bestFit="1" customWidth="1"/>
    <col min="5" max="5" width="15.21875" bestFit="1" customWidth="1"/>
    <col min="6" max="6" width="19.5546875" bestFit="1" customWidth="1"/>
    <col min="7" max="7" width="17.77734375" bestFit="1" customWidth="1"/>
  </cols>
  <sheetData>
    <row r="1" spans="1:7" s="19" customFormat="1" ht="14.4" x14ac:dyDescent="0.3">
      <c r="A1" s="19" t="s">
        <v>501</v>
      </c>
      <c r="B1" s="19" t="s">
        <v>502</v>
      </c>
      <c r="C1" s="19" t="s">
        <v>503</v>
      </c>
      <c r="D1" s="19" t="s">
        <v>504</v>
      </c>
      <c r="E1" s="35" t="s">
        <v>505</v>
      </c>
      <c r="F1" s="19" t="s">
        <v>506</v>
      </c>
      <c r="G1" s="19" t="s">
        <v>507</v>
      </c>
    </row>
    <row r="2" spans="1:7" ht="28.8" x14ac:dyDescent="0.25">
      <c r="A2" t="str">
        <f>'Training Feedback'!A2</f>
        <v>FB0001</v>
      </c>
      <c r="B2" t="str">
        <f>'Training Feedback'!J2</f>
        <v>Pace was just right. Hands-on exercises were very useful.</v>
      </c>
      <c r="C2" s="38" t="s">
        <v>508</v>
      </c>
      <c r="D2" s="17" t="s">
        <v>518</v>
      </c>
      <c r="E2" s="40" t="s">
        <v>531</v>
      </c>
      <c r="G2" s="17" t="s">
        <v>532</v>
      </c>
    </row>
    <row r="3" spans="1:7" ht="28.8" x14ac:dyDescent="0.25">
      <c r="A3" t="str">
        <f>'Training Feedback'!A3</f>
        <v>FB0002</v>
      </c>
      <c r="B3" t="str">
        <f>'Training Feedback'!J3</f>
        <v>Pace was just right. The trainer used real examples from our work.</v>
      </c>
      <c r="C3" s="38" t="s">
        <v>509</v>
      </c>
      <c r="D3" s="17" t="s">
        <v>530</v>
      </c>
      <c r="E3" s="40" t="s">
        <v>531</v>
      </c>
      <c r="G3" s="17" t="s">
        <v>532</v>
      </c>
    </row>
    <row r="4" spans="1:7" ht="14.4" x14ac:dyDescent="0.25">
      <c r="A4" t="str">
        <f>'Training Feedback'!A4</f>
        <v>FB0003</v>
      </c>
      <c r="B4" t="str">
        <f>'Training Feedback'!J4</f>
        <v>Content was too basic for experienced staff.</v>
      </c>
      <c r="C4" s="38" t="s">
        <v>452</v>
      </c>
      <c r="D4" t="s">
        <v>452</v>
      </c>
      <c r="E4" s="40" t="s">
        <v>531</v>
      </c>
      <c r="G4" s="17" t="s">
        <v>532</v>
      </c>
    </row>
    <row r="5" spans="1:7" ht="14.4" x14ac:dyDescent="0.25">
      <c r="A5" t="str">
        <f>'Training Feedback'!A5</f>
        <v>FB0004</v>
      </c>
      <c r="B5" t="str">
        <f>'Training Feedback'!J5</f>
        <v>I can apply the Excel shortcuts from tomorrow.</v>
      </c>
      <c r="C5" s="38" t="s">
        <v>510</v>
      </c>
      <c r="D5" s="17" t="s">
        <v>510</v>
      </c>
      <c r="E5" s="40" t="s">
        <v>531</v>
      </c>
      <c r="G5" s="17" t="s">
        <v>532</v>
      </c>
    </row>
    <row r="6" spans="1:7" ht="14.4" x14ac:dyDescent="0.25">
      <c r="A6" t="str">
        <f>'Training Feedback'!A6</f>
        <v>FB0005</v>
      </c>
      <c r="B6" t="str">
        <f>'Training Feedback'!J6</f>
        <v>The trainer used real examples from our work.</v>
      </c>
      <c r="C6" s="38" t="s">
        <v>453</v>
      </c>
      <c r="D6" s="38" t="s">
        <v>453</v>
      </c>
      <c r="E6" s="40" t="s">
        <v>531</v>
      </c>
      <c r="G6" s="17" t="s">
        <v>532</v>
      </c>
    </row>
    <row r="7" spans="1:7" ht="28.8" x14ac:dyDescent="0.25">
      <c r="A7" t="str">
        <f>'Training Feedback'!A7</f>
        <v>FB0006</v>
      </c>
      <c r="B7" t="str">
        <f>'Training Feedback'!J7</f>
        <v>Session ran over time and felt rushed at the end. Too much theory, not enough practice.</v>
      </c>
      <c r="C7" s="38" t="s">
        <v>508</v>
      </c>
      <c r="D7" s="17" t="s">
        <v>518</v>
      </c>
      <c r="E7" s="40" t="s">
        <v>531</v>
      </c>
      <c r="G7" s="17" t="s">
        <v>532</v>
      </c>
    </row>
    <row r="8" spans="1:7" ht="14.4" x14ac:dyDescent="0.25">
      <c r="A8" t="str">
        <f>'Training Feedback'!A8</f>
        <v>FB0007</v>
      </c>
      <c r="B8" t="str">
        <f>'Training Feedback'!J8</f>
        <v>Pace was just right.</v>
      </c>
      <c r="C8" s="38" t="s">
        <v>511</v>
      </c>
      <c r="D8" s="17" t="s">
        <v>520</v>
      </c>
      <c r="E8" s="40" t="s">
        <v>531</v>
      </c>
      <c r="G8" s="17" t="s">
        <v>532</v>
      </c>
    </row>
    <row r="9" spans="1:7" ht="43.2" x14ac:dyDescent="0.25">
      <c r="A9" t="str">
        <f>'Training Feedback'!A9</f>
        <v>FB0008</v>
      </c>
      <c r="B9" t="str">
        <f>'Training Feedback'!J9</f>
        <v>Content was too basic for experienced staff. Room was noisy and the projector kept failing.</v>
      </c>
      <c r="C9" s="38" t="s">
        <v>512</v>
      </c>
      <c r="D9" s="17" t="s">
        <v>521</v>
      </c>
      <c r="E9" s="40" t="s">
        <v>531</v>
      </c>
      <c r="G9" s="17" t="s">
        <v>532</v>
      </c>
    </row>
    <row r="10" spans="1:7" ht="28.8" x14ac:dyDescent="0.25">
      <c r="A10" t="str">
        <f>'Training Feedback'!A10</f>
        <v>FB0009</v>
      </c>
      <c r="B10" t="str">
        <f>'Training Feedback'!J10</f>
        <v>Hands-on exercises were very useful. Pace was just right.</v>
      </c>
      <c r="C10" s="38" t="s">
        <v>508</v>
      </c>
      <c r="D10" s="17" t="s">
        <v>522</v>
      </c>
      <c r="E10" s="40" t="s">
        <v>531</v>
      </c>
      <c r="G10" s="17" t="s">
        <v>532</v>
      </c>
    </row>
    <row r="11" spans="1:7" ht="14.4" x14ac:dyDescent="0.25">
      <c r="A11" t="str">
        <f>'Training Feedback'!A11</f>
        <v>FB0010</v>
      </c>
      <c r="B11" t="str">
        <f>'Training Feedback'!J11</f>
        <v>Session ran over time and felt rushed at the end.</v>
      </c>
      <c r="C11" s="38" t="s">
        <v>511</v>
      </c>
      <c r="D11" s="17" t="s">
        <v>511</v>
      </c>
      <c r="E11" s="40" t="s">
        <v>531</v>
      </c>
      <c r="G11" s="17" t="s">
        <v>532</v>
      </c>
    </row>
    <row r="12" spans="1:7" ht="28.8" x14ac:dyDescent="0.25">
      <c r="A12" t="str">
        <f>'Training Feedback'!A12</f>
        <v>FB0011</v>
      </c>
      <c r="B12" t="str">
        <f>'Training Feedback'!J12</f>
        <v>I can apply the Excel shortcuts from tomorrow. The trainer used real examples from our work.</v>
      </c>
      <c r="C12" s="38" t="s">
        <v>513</v>
      </c>
      <c r="D12" s="17" t="s">
        <v>524</v>
      </c>
      <c r="E12" s="40" t="s">
        <v>531</v>
      </c>
      <c r="G12" s="17" t="s">
        <v>532</v>
      </c>
    </row>
    <row r="13" spans="1:7" ht="28.8" x14ac:dyDescent="0.25">
      <c r="A13" t="str">
        <f>'Training Feedback'!A13</f>
        <v>FB0012</v>
      </c>
      <c r="B13" t="str">
        <f>'Training Feedback'!J13</f>
        <v>I can apply the Excel shortcuts from tomorrow. Pace was just right.</v>
      </c>
      <c r="C13" s="38" t="s">
        <v>508</v>
      </c>
      <c r="D13" s="17" t="s">
        <v>525</v>
      </c>
      <c r="E13" s="40" t="s">
        <v>531</v>
      </c>
      <c r="G13" s="17" t="s">
        <v>532</v>
      </c>
    </row>
    <row r="14" spans="1:7" ht="28.8" x14ac:dyDescent="0.25">
      <c r="A14" t="str">
        <f>'Training Feedback'!A14</f>
        <v>FB0013</v>
      </c>
      <c r="B14" t="str">
        <f>'Training Feedback'!J14</f>
        <v>The trainer used real examples from our work. Pace was just right.</v>
      </c>
      <c r="C14" s="38" t="s">
        <v>509</v>
      </c>
      <c r="D14" s="17" t="s">
        <v>523</v>
      </c>
      <c r="E14" s="40" t="s">
        <v>531</v>
      </c>
      <c r="G14" s="17" t="s">
        <v>532</v>
      </c>
    </row>
    <row r="15" spans="1:7" ht="28.8" x14ac:dyDescent="0.25">
      <c r="A15" t="str">
        <f>'Training Feedback'!A15</f>
        <v>FB0014</v>
      </c>
      <c r="B15" t="str">
        <f>'Training Feedback'!J15</f>
        <v>I can apply the Excel shortcuts from tomorrow. The trainer used real examples from our work.</v>
      </c>
      <c r="C15" s="38" t="s">
        <v>513</v>
      </c>
      <c r="D15" s="17" t="s">
        <v>524</v>
      </c>
      <c r="E15" s="40" t="s">
        <v>531</v>
      </c>
      <c r="G15" s="17" t="s">
        <v>532</v>
      </c>
    </row>
    <row r="16" spans="1:7" ht="14.4" x14ac:dyDescent="0.25">
      <c r="A16" t="str">
        <f>'Training Feedback'!A16</f>
        <v>FB0015</v>
      </c>
      <c r="B16" t="str">
        <f>'Training Feedback'!J16</f>
        <v>Too much theory, not enough practice.</v>
      </c>
      <c r="C16" s="38" t="s">
        <v>510</v>
      </c>
      <c r="D16" s="17" t="s">
        <v>510</v>
      </c>
      <c r="E16" s="40" t="s">
        <v>531</v>
      </c>
      <c r="G16" s="17" t="s">
        <v>532</v>
      </c>
    </row>
    <row r="17" spans="1:7" ht="14.4" x14ac:dyDescent="0.25">
      <c r="A17" t="str">
        <f>'Training Feedback'!A17</f>
        <v>FB0016</v>
      </c>
      <c r="B17" t="str">
        <f>'Training Feedback'!J17</f>
        <v>Pace was just right.</v>
      </c>
      <c r="C17" s="38" t="s">
        <v>511</v>
      </c>
      <c r="D17" s="38" t="s">
        <v>511</v>
      </c>
      <c r="E17" s="40" t="s">
        <v>531</v>
      </c>
      <c r="G17" s="17" t="s">
        <v>532</v>
      </c>
    </row>
    <row r="18" spans="1:7" ht="28.8" x14ac:dyDescent="0.25">
      <c r="A18" t="str">
        <f>'Training Feedback'!A18</f>
        <v>FB0017</v>
      </c>
      <c r="B18" t="str">
        <f>'Training Feedback'!J18</f>
        <v>Pace was just right. Hands-on exercises were very useful.</v>
      </c>
      <c r="C18" s="38" t="s">
        <v>508</v>
      </c>
      <c r="D18" s="38" t="s">
        <v>522</v>
      </c>
      <c r="E18" s="40" t="s">
        <v>531</v>
      </c>
      <c r="G18" s="17" t="s">
        <v>532</v>
      </c>
    </row>
    <row r="19" spans="1:7" ht="28.8" x14ac:dyDescent="0.25">
      <c r="A19" t="str">
        <f>'Training Feedback'!A19</f>
        <v>FB0018</v>
      </c>
      <c r="B19" t="str">
        <f>'Training Feedback'!J19</f>
        <v>Too much theory, not enough practice. Content was too basic for experienced staff.</v>
      </c>
      <c r="C19" s="38" t="s">
        <v>514</v>
      </c>
      <c r="D19" s="17" t="s">
        <v>526</v>
      </c>
      <c r="E19" s="40" t="s">
        <v>531</v>
      </c>
      <c r="G19" s="17" t="s">
        <v>532</v>
      </c>
    </row>
    <row r="20" spans="1:7" ht="14.4" x14ac:dyDescent="0.25">
      <c r="A20" t="str">
        <f>'Training Feedback'!A20</f>
        <v>FB0019</v>
      </c>
      <c r="B20" t="str">
        <f>'Training Feedback'!J20</f>
        <v>The trainer used real examples from our work.</v>
      </c>
      <c r="C20" s="38" t="s">
        <v>453</v>
      </c>
      <c r="D20" s="17" t="s">
        <v>453</v>
      </c>
      <c r="E20" s="40" t="s">
        <v>531</v>
      </c>
      <c r="G20" s="17" t="s">
        <v>532</v>
      </c>
    </row>
    <row r="21" spans="1:7" ht="14.4" x14ac:dyDescent="0.25">
      <c r="A21" t="str">
        <f>'Training Feedback'!A21</f>
        <v>FB0020</v>
      </c>
      <c r="B21" t="str">
        <f>'Training Feedback'!J21</f>
        <v>I can apply the Excel shortcuts from tomorrow. Hands-on exercises were very useful.</v>
      </c>
      <c r="C21" s="38" t="s">
        <v>510</v>
      </c>
      <c r="D21" s="17" t="s">
        <v>527</v>
      </c>
      <c r="E21" s="40" t="s">
        <v>531</v>
      </c>
      <c r="G21" s="17" t="s">
        <v>532</v>
      </c>
    </row>
    <row r="22" spans="1:7" ht="28.8" x14ac:dyDescent="0.25">
      <c r="A22" t="str">
        <f>'Training Feedback'!A22</f>
        <v>FB0021</v>
      </c>
      <c r="B22" t="str">
        <f>'Training Feedback'!J22</f>
        <v>Session ran over time and felt rushed at the end. Content was too basic for experienced staff.</v>
      </c>
      <c r="C22" s="38" t="s">
        <v>515</v>
      </c>
      <c r="D22" s="17" t="s">
        <v>528</v>
      </c>
      <c r="E22" s="40" t="s">
        <v>531</v>
      </c>
      <c r="G22" s="17" t="s">
        <v>532</v>
      </c>
    </row>
    <row r="23" spans="1:7" ht="28.8" x14ac:dyDescent="0.25">
      <c r="A23" t="str">
        <f>'Training Feedback'!A23</f>
        <v>FB0022</v>
      </c>
      <c r="B23" t="str">
        <f>'Training Feedback'!J23</f>
        <v>Pace was just right. The trainer used real examples from our work.</v>
      </c>
      <c r="C23" s="38" t="s">
        <v>509</v>
      </c>
      <c r="D23" s="17" t="s">
        <v>530</v>
      </c>
      <c r="E23" s="40" t="s">
        <v>531</v>
      </c>
      <c r="G23" s="17" t="s">
        <v>532</v>
      </c>
    </row>
    <row r="24" spans="1:7" ht="14.4" x14ac:dyDescent="0.25">
      <c r="A24" t="str">
        <f>'Training Feedback'!A24</f>
        <v>FB0023</v>
      </c>
      <c r="B24" t="str">
        <f>'Training Feedback'!J24</f>
        <v>The trainer used real examples from our work.</v>
      </c>
      <c r="C24" s="38" t="s">
        <v>453</v>
      </c>
      <c r="D24" s="17" t="s">
        <v>453</v>
      </c>
      <c r="E24" s="40" t="s">
        <v>531</v>
      </c>
      <c r="G24" s="17" t="s">
        <v>532</v>
      </c>
    </row>
    <row r="25" spans="1:7" ht="14.4" x14ac:dyDescent="0.25">
      <c r="A25" t="str">
        <f>'Training Feedback'!A25</f>
        <v>FB0024</v>
      </c>
      <c r="B25" t="str">
        <f>'Training Feedback'!J25</f>
        <v>Hands-on exercises were very useful.</v>
      </c>
      <c r="C25" s="38" t="s">
        <v>510</v>
      </c>
      <c r="D25" s="17" t="s">
        <v>510</v>
      </c>
      <c r="E25" s="40" t="s">
        <v>531</v>
      </c>
      <c r="G25" s="17" t="s">
        <v>532</v>
      </c>
    </row>
    <row r="26" spans="1:7" ht="28.8" x14ac:dyDescent="0.25">
      <c r="A26" t="str">
        <f>'Training Feedback'!A26</f>
        <v>FB0025</v>
      </c>
      <c r="B26" t="str">
        <f>'Training Feedback'!J26</f>
        <v>The trainer used real examples from our work. I can apply the Excel shortcuts from tomorrow.</v>
      </c>
      <c r="C26" s="38" t="s">
        <v>513</v>
      </c>
      <c r="D26" s="17" t="s">
        <v>519</v>
      </c>
      <c r="E26" s="40" t="s">
        <v>531</v>
      </c>
      <c r="G26" s="17" t="s">
        <v>532</v>
      </c>
    </row>
    <row r="27" spans="1:7" ht="14.4" x14ac:dyDescent="0.25">
      <c r="A27" t="str">
        <f>'Training Feedback'!A27</f>
        <v>FB0026</v>
      </c>
      <c r="B27" t="str">
        <f>'Training Feedback'!J27</f>
        <v>Pace was just right.</v>
      </c>
      <c r="C27" s="38" t="s">
        <v>511</v>
      </c>
      <c r="D27" s="17" t="s">
        <v>511</v>
      </c>
      <c r="E27" s="40" t="s">
        <v>531</v>
      </c>
      <c r="G27" s="17" t="s">
        <v>532</v>
      </c>
    </row>
    <row r="28" spans="1:7" ht="43.2" x14ac:dyDescent="0.25">
      <c r="A28" t="str">
        <f>'Training Feedback'!A28</f>
        <v>FB0027</v>
      </c>
      <c r="B28" t="str">
        <f>'Training Feedback'!J28</f>
        <v>Room was noisy and the projector kept failing. Content was too basic for experienced staff.</v>
      </c>
      <c r="C28" s="38" t="s">
        <v>512</v>
      </c>
      <c r="D28" s="38" t="s">
        <v>529</v>
      </c>
      <c r="E28" s="40" t="s">
        <v>531</v>
      </c>
      <c r="G28" s="17" t="s">
        <v>532</v>
      </c>
    </row>
    <row r="29" spans="1:7" ht="28.8" x14ac:dyDescent="0.25">
      <c r="A29" t="str">
        <f>'Training Feedback'!A29</f>
        <v>FB0028</v>
      </c>
      <c r="B29" t="str">
        <f>'Training Feedback'!J29</f>
        <v>Room was noisy and the projector kept failing.</v>
      </c>
      <c r="C29" s="38" t="s">
        <v>466</v>
      </c>
      <c r="D29" s="38" t="s">
        <v>466</v>
      </c>
      <c r="E29" s="40" t="s">
        <v>531</v>
      </c>
      <c r="G29" s="17" t="s">
        <v>532</v>
      </c>
    </row>
    <row r="30" spans="1:7" ht="28.8" x14ac:dyDescent="0.25">
      <c r="A30" t="str">
        <f>'Training Feedback'!A30</f>
        <v>FB0029</v>
      </c>
      <c r="B30" t="str">
        <f>'Training Feedback'!J30</f>
        <v>Pace was just right. Hands-on exercises were very useful.</v>
      </c>
      <c r="C30" s="38" t="s">
        <v>508</v>
      </c>
      <c r="D30" s="38" t="s">
        <v>522</v>
      </c>
      <c r="E30" s="40" t="s">
        <v>531</v>
      </c>
      <c r="G30" s="17" t="s">
        <v>532</v>
      </c>
    </row>
    <row r="31" spans="1:7" ht="14.4" x14ac:dyDescent="0.25">
      <c r="A31" t="str">
        <f>'Training Feedback'!A31</f>
        <v>FB0030</v>
      </c>
      <c r="B31" t="str">
        <f>'Training Feedback'!J31</f>
        <v>Hands-on exercises were very useful.</v>
      </c>
      <c r="C31" s="38" t="s">
        <v>510</v>
      </c>
      <c r="D31" t="s">
        <v>510</v>
      </c>
      <c r="E31" s="40" t="s">
        <v>531</v>
      </c>
      <c r="G31" s="17" t="s">
        <v>532</v>
      </c>
    </row>
    <row r="32" spans="1:7" ht="43.2" x14ac:dyDescent="0.25">
      <c r="A32" t="str">
        <f>'Training Feedback'!A32</f>
        <v>FB0031</v>
      </c>
      <c r="B32" t="str">
        <f>'Training Feedback'!J32</f>
        <v>Too much theory, not enough practice. Room was noisy and the projector kept failing.</v>
      </c>
      <c r="C32" s="38" t="s">
        <v>516</v>
      </c>
      <c r="E32" s="40"/>
    </row>
    <row r="33" spans="1:5" ht="14.4" x14ac:dyDescent="0.25">
      <c r="A33" t="str">
        <f>'Training Feedback'!A33</f>
        <v>FB0032</v>
      </c>
      <c r="B33" t="str">
        <f>'Training Feedback'!J33</f>
        <v>Content was too basic for experienced staff.</v>
      </c>
      <c r="C33" s="38" t="s">
        <v>452</v>
      </c>
      <c r="E33" s="40"/>
    </row>
    <row r="34" spans="1:5" ht="28.8" x14ac:dyDescent="0.25">
      <c r="A34" t="str">
        <f>'Training Feedback'!A34</f>
        <v>FB0033</v>
      </c>
      <c r="B34" t="str">
        <f>'Training Feedback'!J34</f>
        <v>Pace was just right. Hands-on exercises were very useful.</v>
      </c>
      <c r="C34" s="38" t="s">
        <v>508</v>
      </c>
      <c r="E34" s="40"/>
    </row>
    <row r="35" spans="1:5" ht="28.8" x14ac:dyDescent="0.25">
      <c r="A35" t="str">
        <f>'Training Feedback'!A35</f>
        <v>FB0034</v>
      </c>
      <c r="B35" t="str">
        <f>'Training Feedback'!J35</f>
        <v>The trainer used real examples from our work. Pace was just right.</v>
      </c>
      <c r="C35" s="38" t="s">
        <v>509</v>
      </c>
      <c r="E35" s="40"/>
    </row>
    <row r="36" spans="1:5" ht="28.8" x14ac:dyDescent="0.25">
      <c r="A36" t="str">
        <f>'Training Feedback'!A36</f>
        <v>FB0035</v>
      </c>
      <c r="B36" t="str">
        <f>'Training Feedback'!J36</f>
        <v>I can apply the Excel shortcuts from tomorrow. The trainer used real examples from our work.</v>
      </c>
      <c r="C36" s="38" t="s">
        <v>513</v>
      </c>
      <c r="E36" s="40"/>
    </row>
    <row r="37" spans="1:5" ht="14.4" x14ac:dyDescent="0.25">
      <c r="A37" t="str">
        <f>'Training Feedback'!A37</f>
        <v>FB0036</v>
      </c>
      <c r="B37" t="str">
        <f>'Training Feedback'!J37</f>
        <v>Hands-on exercises were very useful. I can apply the Excel shortcuts from tomorrow.</v>
      </c>
      <c r="C37" s="38" t="s">
        <v>510</v>
      </c>
      <c r="E37" s="40"/>
    </row>
    <row r="38" spans="1:5" ht="43.2" x14ac:dyDescent="0.25">
      <c r="A38" t="str">
        <f>'Training Feedback'!A38</f>
        <v>FB0037</v>
      </c>
      <c r="B38" t="str">
        <f>'Training Feedback'!J38</f>
        <v>Room was noisy and the projector kept failing. Too much theory, not enough practice.</v>
      </c>
      <c r="C38" s="38" t="s">
        <v>516</v>
      </c>
      <c r="E38" s="40"/>
    </row>
    <row r="39" spans="1:5" ht="14.4" x14ac:dyDescent="0.25">
      <c r="A39" t="str">
        <f>'Training Feedback'!A39</f>
        <v>FB0038</v>
      </c>
      <c r="B39" t="str">
        <f>'Training Feedback'!J39</f>
        <v>Session ran over time and felt rushed at the end.</v>
      </c>
      <c r="C39" s="38" t="s">
        <v>511</v>
      </c>
      <c r="E39" s="40"/>
    </row>
    <row r="40" spans="1:5" ht="14.4" x14ac:dyDescent="0.25">
      <c r="A40" t="str">
        <f>'Training Feedback'!A40</f>
        <v>FB0039</v>
      </c>
      <c r="B40" t="str">
        <f>'Training Feedback'!J40</f>
        <v>Hands-on exercises were very useful.</v>
      </c>
      <c r="C40" s="38" t="s">
        <v>510</v>
      </c>
      <c r="E40" s="40"/>
    </row>
    <row r="41" spans="1:5" ht="28.8" x14ac:dyDescent="0.25">
      <c r="A41" t="str">
        <f>'Training Feedback'!A41</f>
        <v>FB0040</v>
      </c>
      <c r="B41" t="str">
        <f>'Training Feedback'!J41</f>
        <v>I can apply the Excel shortcuts from tomorrow. Pace was just right.</v>
      </c>
      <c r="C41" s="38" t="s">
        <v>508</v>
      </c>
      <c r="E41" s="40"/>
    </row>
    <row r="42" spans="1:5" ht="28.8" x14ac:dyDescent="0.25">
      <c r="A42" t="str">
        <f>'Training Feedback'!A42</f>
        <v>FB0041</v>
      </c>
      <c r="B42" t="str">
        <f>'Training Feedback'!J42</f>
        <v>The trainer used real examples from our work. I can apply the Excel shortcuts from tomorrow.</v>
      </c>
      <c r="C42" s="38" t="s">
        <v>513</v>
      </c>
      <c r="E42" s="40"/>
    </row>
    <row r="43" spans="1:5" ht="28.8" x14ac:dyDescent="0.25">
      <c r="A43" t="str">
        <f>'Training Feedback'!A43</f>
        <v>FB0042</v>
      </c>
      <c r="B43" t="str">
        <f>'Training Feedback'!J43</f>
        <v>I can apply the Excel shortcuts from tomorrow. The trainer used real examples from our work.</v>
      </c>
      <c r="C43" s="38" t="s">
        <v>513</v>
      </c>
      <c r="E43" s="40"/>
    </row>
    <row r="44" spans="1:5" ht="14.4" x14ac:dyDescent="0.25">
      <c r="A44" t="str">
        <f>'Training Feedback'!A44</f>
        <v>FB0043</v>
      </c>
      <c r="B44" t="str">
        <f>'Training Feedback'!J44</f>
        <v>Pace was just right.</v>
      </c>
      <c r="C44" s="38" t="s">
        <v>511</v>
      </c>
      <c r="E44" s="40"/>
    </row>
    <row r="45" spans="1:5" ht="14.4" x14ac:dyDescent="0.25">
      <c r="A45" t="str">
        <f>'Training Feedback'!A45</f>
        <v>FB0044</v>
      </c>
      <c r="B45" t="str">
        <f>'Training Feedback'!J45</f>
        <v>Hands-on exercises were very useful.</v>
      </c>
      <c r="C45" s="38" t="s">
        <v>510</v>
      </c>
      <c r="E45" s="40"/>
    </row>
    <row r="46" spans="1:5" ht="28.8" x14ac:dyDescent="0.25">
      <c r="A46" t="str">
        <f>'Training Feedback'!A46</f>
        <v>FB0045</v>
      </c>
      <c r="B46" t="str">
        <f>'Training Feedback'!J46</f>
        <v>Pace was just right. The trainer used real examples from our work.</v>
      </c>
      <c r="C46" s="38" t="s">
        <v>509</v>
      </c>
      <c r="E46" s="40"/>
    </row>
    <row r="47" spans="1:5" ht="14.4" x14ac:dyDescent="0.25">
      <c r="A47" t="str">
        <f>'Training Feedback'!A47</f>
        <v>FB0046</v>
      </c>
      <c r="B47" t="str">
        <f>'Training Feedback'!J47</f>
        <v>Hands-on exercises were very useful.</v>
      </c>
      <c r="C47" s="38" t="s">
        <v>510</v>
      </c>
      <c r="E47" s="40"/>
    </row>
    <row r="48" spans="1:5" ht="14.4" x14ac:dyDescent="0.25">
      <c r="A48" t="str">
        <f>'Training Feedback'!A48</f>
        <v>FB0047</v>
      </c>
      <c r="B48" t="str">
        <f>'Training Feedback'!J48</f>
        <v>Pace was just right.</v>
      </c>
      <c r="C48" s="38" t="s">
        <v>511</v>
      </c>
      <c r="E48" s="40"/>
    </row>
    <row r="49" spans="1:5" ht="14.4" x14ac:dyDescent="0.25">
      <c r="A49" t="str">
        <f>'Training Feedback'!A49</f>
        <v>FB0048</v>
      </c>
      <c r="B49" t="str">
        <f>'Training Feedback'!J49</f>
        <v>Pace was just right.</v>
      </c>
      <c r="C49" s="38" t="s">
        <v>511</v>
      </c>
      <c r="E49" s="40"/>
    </row>
    <row r="50" spans="1:5" ht="28.8" x14ac:dyDescent="0.25">
      <c r="A50" t="str">
        <f>'Training Feedback'!A50</f>
        <v>FB0049</v>
      </c>
      <c r="B50" t="str">
        <f>'Training Feedback'!J50</f>
        <v>Room was noisy and the projector kept failing.</v>
      </c>
      <c r="C50" s="38" t="s">
        <v>466</v>
      </c>
      <c r="E50" s="40"/>
    </row>
    <row r="51" spans="1:5" ht="28.8" x14ac:dyDescent="0.25">
      <c r="A51" t="str">
        <f>'Training Feedback'!A51</f>
        <v>FB0050</v>
      </c>
      <c r="B51" t="str">
        <f>'Training Feedback'!J51</f>
        <v>Content was too basic for experienced staff. Session ran over time and felt rushed at the end.</v>
      </c>
      <c r="C51" s="38" t="s">
        <v>515</v>
      </c>
      <c r="E51" s="40"/>
    </row>
    <row r="52" spans="1:5" ht="28.8" x14ac:dyDescent="0.25">
      <c r="A52" t="str">
        <f>'Training Feedback'!A52</f>
        <v>FB0051</v>
      </c>
      <c r="B52" t="str">
        <f>'Training Feedback'!J52</f>
        <v>The trainer used real examples from our work. I can apply the Excel shortcuts from tomorrow.</v>
      </c>
      <c r="C52" s="38" t="s">
        <v>513</v>
      </c>
      <c r="E52" s="40"/>
    </row>
    <row r="53" spans="1:5" ht="28.8" x14ac:dyDescent="0.25">
      <c r="A53" t="str">
        <f>'Training Feedback'!A53</f>
        <v>FB0052</v>
      </c>
      <c r="B53" t="str">
        <f>'Training Feedback'!J53</f>
        <v>Pace was just right. Hands-on exercises were very useful.</v>
      </c>
      <c r="C53" s="38" t="s">
        <v>508</v>
      </c>
      <c r="E53" s="40"/>
    </row>
    <row r="54" spans="1:5" ht="14.4" x14ac:dyDescent="0.25">
      <c r="A54" t="str">
        <f>'Training Feedback'!A54</f>
        <v>FB0053</v>
      </c>
      <c r="B54" t="str">
        <f>'Training Feedback'!J54</f>
        <v>Hands-on exercises were very useful.</v>
      </c>
      <c r="C54" s="38" t="s">
        <v>510</v>
      </c>
      <c r="E54" s="40"/>
    </row>
    <row r="55" spans="1:5" ht="28.8" x14ac:dyDescent="0.25">
      <c r="A55" t="str">
        <f>'Training Feedback'!A55</f>
        <v>FB0054</v>
      </c>
      <c r="B55" t="str">
        <f>'Training Feedback'!J55</f>
        <v>Room was noisy and the projector kept failing.</v>
      </c>
      <c r="C55" s="38" t="s">
        <v>466</v>
      </c>
      <c r="E55" s="40"/>
    </row>
    <row r="56" spans="1:5" ht="28.8" x14ac:dyDescent="0.25">
      <c r="A56" t="str">
        <f>'Training Feedback'!A56</f>
        <v>FB0055</v>
      </c>
      <c r="B56" t="str">
        <f>'Training Feedback'!J56</f>
        <v>The trainer used real examples from our work. I can apply the Excel shortcuts from tomorrow.</v>
      </c>
      <c r="C56" s="38" t="s">
        <v>513</v>
      </c>
      <c r="E56" s="40"/>
    </row>
    <row r="57" spans="1:5" ht="28.8" x14ac:dyDescent="0.25">
      <c r="A57" t="str">
        <f>'Training Feedback'!A57</f>
        <v>FB0056</v>
      </c>
      <c r="B57" t="str">
        <f>'Training Feedback'!J57</f>
        <v>The trainer used real examples from our work. Pace was just right.</v>
      </c>
      <c r="C57" s="38" t="s">
        <v>509</v>
      </c>
      <c r="E57" s="40"/>
    </row>
    <row r="58" spans="1:5" ht="14.4" x14ac:dyDescent="0.25">
      <c r="A58" t="str">
        <f>'Training Feedback'!A58</f>
        <v>FB0057</v>
      </c>
      <c r="B58" t="str">
        <f>'Training Feedback'!J58</f>
        <v>Pace was just right.</v>
      </c>
      <c r="C58" s="38" t="s">
        <v>511</v>
      </c>
      <c r="E58" s="40"/>
    </row>
    <row r="59" spans="1:5" ht="14.4" x14ac:dyDescent="0.25">
      <c r="A59" t="str">
        <f>'Training Feedback'!A59</f>
        <v>FB0058</v>
      </c>
      <c r="B59" t="str">
        <f>'Training Feedback'!J59</f>
        <v>Content was too basic for experienced staff.</v>
      </c>
      <c r="C59" s="38" t="s">
        <v>452</v>
      </c>
      <c r="E59" s="40"/>
    </row>
    <row r="60" spans="1:5" ht="14.4" x14ac:dyDescent="0.25">
      <c r="A60" t="str">
        <f>'Training Feedback'!A60</f>
        <v>FB0059</v>
      </c>
      <c r="B60" t="str">
        <f>'Training Feedback'!J60</f>
        <v>Too much theory, not enough practice.</v>
      </c>
      <c r="C60" s="38" t="s">
        <v>510</v>
      </c>
      <c r="E60" s="40"/>
    </row>
    <row r="61" spans="1:5" ht="28.8" x14ac:dyDescent="0.25">
      <c r="A61" t="str">
        <f>'Training Feedback'!A61</f>
        <v>FB0060</v>
      </c>
      <c r="B61" t="str">
        <f>'Training Feedback'!J61</f>
        <v>Room was noisy and the projector kept failing.</v>
      </c>
      <c r="C61" s="38" t="s">
        <v>466</v>
      </c>
      <c r="E61" s="40"/>
    </row>
    <row r="62" spans="1:5" ht="43.2" x14ac:dyDescent="0.25">
      <c r="A62" t="str">
        <f>'Training Feedback'!A62</f>
        <v>FB0061</v>
      </c>
      <c r="B62" t="str">
        <f>'Training Feedback'!J62</f>
        <v>Room was noisy and the projector kept failing. Content was too basic for experienced staff.</v>
      </c>
      <c r="C62" s="38" t="s">
        <v>512</v>
      </c>
      <c r="E62" s="40"/>
    </row>
    <row r="63" spans="1:5" ht="14.4" x14ac:dyDescent="0.25">
      <c r="A63" t="str">
        <f>'Training Feedback'!A63</f>
        <v>FB0062</v>
      </c>
      <c r="B63" t="str">
        <f>'Training Feedback'!J63</f>
        <v>Too much theory, not enough practice.</v>
      </c>
      <c r="C63" s="38" t="s">
        <v>510</v>
      </c>
      <c r="E63" s="40"/>
    </row>
    <row r="64" spans="1:5" ht="28.8" x14ac:dyDescent="0.25">
      <c r="A64" t="str">
        <f>'Training Feedback'!A64</f>
        <v>FB0063</v>
      </c>
      <c r="B64" t="str">
        <f>'Training Feedback'!J64</f>
        <v>Room was noisy and the projector kept failing.</v>
      </c>
      <c r="C64" s="38" t="s">
        <v>466</v>
      </c>
      <c r="E64" s="40"/>
    </row>
    <row r="65" spans="1:5" ht="14.4" x14ac:dyDescent="0.25">
      <c r="A65" t="str">
        <f>'Training Feedback'!A65</f>
        <v>FB0064</v>
      </c>
      <c r="B65" t="str">
        <f>'Training Feedback'!J65</f>
        <v>Hands-on exercises were very useful.</v>
      </c>
      <c r="C65" s="38" t="s">
        <v>510</v>
      </c>
      <c r="E65" s="40"/>
    </row>
    <row r="66" spans="1:5" ht="14.4" x14ac:dyDescent="0.25">
      <c r="A66" t="str">
        <f>'Training Feedback'!A66</f>
        <v>FB0065</v>
      </c>
      <c r="B66" t="str">
        <f>'Training Feedback'!J66</f>
        <v>Content was too basic for experienced staff.</v>
      </c>
      <c r="C66" s="38" t="s">
        <v>452</v>
      </c>
      <c r="E66" s="40"/>
    </row>
    <row r="67" spans="1:5" ht="14.4" x14ac:dyDescent="0.25">
      <c r="A67" t="str">
        <f>'Training Feedback'!A67</f>
        <v>FB0066</v>
      </c>
      <c r="B67" t="str">
        <f>'Training Feedback'!J67</f>
        <v>Pace was just right.</v>
      </c>
      <c r="C67" s="38" t="s">
        <v>511</v>
      </c>
      <c r="E67" s="40"/>
    </row>
    <row r="68" spans="1:5" ht="43.2" x14ac:dyDescent="0.25">
      <c r="A68" t="str">
        <f>'Training Feedback'!A68</f>
        <v>FB0067</v>
      </c>
      <c r="B68" t="str">
        <f>'Training Feedback'!J68</f>
        <v>Too much theory, not enough practice. Room was noisy and the projector kept failing.</v>
      </c>
      <c r="C68" s="38" t="s">
        <v>516</v>
      </c>
      <c r="E68" s="40"/>
    </row>
    <row r="69" spans="1:5" ht="14.4" x14ac:dyDescent="0.25">
      <c r="A69" t="str">
        <f>'Training Feedback'!A69</f>
        <v>FB0068</v>
      </c>
      <c r="B69" t="str">
        <f>'Training Feedback'!J69</f>
        <v>I can apply the Excel shortcuts from tomorrow. Hands-on exercises were very useful.</v>
      </c>
      <c r="C69" s="38" t="s">
        <v>510</v>
      </c>
      <c r="E69" s="40"/>
    </row>
    <row r="70" spans="1:5" ht="14.4" x14ac:dyDescent="0.25">
      <c r="A70" t="str">
        <f>'Training Feedback'!A70</f>
        <v>FB0069</v>
      </c>
      <c r="B70" t="str">
        <f>'Training Feedback'!J70</f>
        <v>Too much theory, not enough practice.</v>
      </c>
      <c r="C70" s="38" t="s">
        <v>510</v>
      </c>
      <c r="E70" s="40"/>
    </row>
    <row r="71" spans="1:5" ht="14.4" x14ac:dyDescent="0.25">
      <c r="A71" t="str">
        <f>'Training Feedback'!A71</f>
        <v>FB0070</v>
      </c>
      <c r="B71" t="str">
        <f>'Training Feedback'!J71</f>
        <v>Content was too basic for experienced staff.</v>
      </c>
      <c r="C71" s="38" t="s">
        <v>452</v>
      </c>
      <c r="E71" s="40"/>
    </row>
    <row r="72" spans="1:5" ht="14.4" x14ac:dyDescent="0.25">
      <c r="A72" t="str">
        <f>'Training Feedback'!A72</f>
        <v>FB0071</v>
      </c>
      <c r="B72" t="str">
        <f>'Training Feedback'!J72</f>
        <v>Too much theory, not enough practice.</v>
      </c>
      <c r="C72" s="38" t="s">
        <v>510</v>
      </c>
      <c r="E72" s="40"/>
    </row>
    <row r="73" spans="1:5" ht="28.8" x14ac:dyDescent="0.25">
      <c r="A73" t="str">
        <f>'Training Feedback'!A73</f>
        <v>FB0072</v>
      </c>
      <c r="B73" t="str">
        <f>'Training Feedback'!J73</f>
        <v>Pace was just right. Hands-on exercises were very useful.</v>
      </c>
      <c r="C73" s="38" t="s">
        <v>508</v>
      </c>
      <c r="E73" s="40"/>
    </row>
    <row r="74" spans="1:5" ht="14.4" x14ac:dyDescent="0.25">
      <c r="A74" t="str">
        <f>'Training Feedback'!A74</f>
        <v>FB0073</v>
      </c>
      <c r="B74" t="str">
        <f>'Training Feedback'!J74</f>
        <v>I can apply the Excel shortcuts from tomorrow.</v>
      </c>
      <c r="C74" s="38" t="s">
        <v>510</v>
      </c>
      <c r="E74" s="40"/>
    </row>
    <row r="75" spans="1:5" ht="28.8" x14ac:dyDescent="0.25">
      <c r="A75" t="str">
        <f>'Training Feedback'!A75</f>
        <v>FB0074</v>
      </c>
      <c r="B75" t="str">
        <f>'Training Feedback'!J75</f>
        <v>Pace was just right. Hands-on exercises were very useful.</v>
      </c>
      <c r="C75" s="38" t="s">
        <v>508</v>
      </c>
      <c r="E75" s="40"/>
    </row>
    <row r="76" spans="1:5" ht="28.8" x14ac:dyDescent="0.25">
      <c r="A76" t="str">
        <f>'Training Feedback'!A76</f>
        <v>FB0075</v>
      </c>
      <c r="B76" t="str">
        <f>'Training Feedback'!J76</f>
        <v>Session ran over time and felt rushed at the end. Too much theory, not enough practice.</v>
      </c>
      <c r="C76" s="38" t="s">
        <v>508</v>
      </c>
      <c r="E76" s="40"/>
    </row>
    <row r="77" spans="1:5" ht="28.8" x14ac:dyDescent="0.25">
      <c r="A77" t="str">
        <f>'Training Feedback'!A77</f>
        <v>FB0076</v>
      </c>
      <c r="B77" t="str">
        <f>'Training Feedback'!J77</f>
        <v>Room was noisy and the projector kept failing.</v>
      </c>
      <c r="C77" s="38" t="s">
        <v>466</v>
      </c>
      <c r="E77" s="40"/>
    </row>
    <row r="78" spans="1:5" ht="28.8" x14ac:dyDescent="0.25">
      <c r="A78" t="str">
        <f>'Training Feedback'!A78</f>
        <v>FB0077</v>
      </c>
      <c r="B78" t="str">
        <f>'Training Feedback'!J78</f>
        <v>Pace was just right. Hands-on exercises were very useful.</v>
      </c>
      <c r="C78" s="38" t="s">
        <v>508</v>
      </c>
      <c r="E78" s="40"/>
    </row>
    <row r="79" spans="1:5" ht="43.2" x14ac:dyDescent="0.25">
      <c r="A79" t="str">
        <f>'Training Feedback'!A79</f>
        <v>FB0078</v>
      </c>
      <c r="B79" t="str">
        <f>'Training Feedback'!J79</f>
        <v>Room was noisy and the projector kept failing. Content was too basic for experienced staff.</v>
      </c>
      <c r="C79" s="38" t="s">
        <v>512</v>
      </c>
      <c r="E79" s="40"/>
    </row>
    <row r="80" spans="1:5" ht="14.4" x14ac:dyDescent="0.25">
      <c r="A80" t="str">
        <f>'Training Feedback'!A80</f>
        <v>FB0079</v>
      </c>
      <c r="B80" t="str">
        <f>'Training Feedback'!J80</f>
        <v>Pace was just right.</v>
      </c>
      <c r="C80" s="38" t="s">
        <v>511</v>
      </c>
      <c r="E80" s="40"/>
    </row>
    <row r="81" spans="1:5" ht="28.8" x14ac:dyDescent="0.25">
      <c r="A81" t="str">
        <f>'Training Feedback'!A81</f>
        <v>FB0080</v>
      </c>
      <c r="B81" t="str">
        <f>'Training Feedback'!J81</f>
        <v>Pace was just right. Hands-on exercises were very useful.</v>
      </c>
      <c r="C81" s="38" t="s">
        <v>508</v>
      </c>
      <c r="E81" s="40"/>
    </row>
    <row r="82" spans="1:5" ht="28.8" x14ac:dyDescent="0.25">
      <c r="A82" t="str">
        <f>'Training Feedback'!A82</f>
        <v>FB0081</v>
      </c>
      <c r="B82" t="str">
        <f>'Training Feedback'!J82</f>
        <v>Hands-on exercises were very useful. The trainer used real examples from our work.</v>
      </c>
      <c r="C82" s="38" t="s">
        <v>513</v>
      </c>
      <c r="E82" s="40"/>
    </row>
    <row r="83" spans="1:5" ht="28.8" x14ac:dyDescent="0.25">
      <c r="A83" t="str">
        <f>'Training Feedback'!A83</f>
        <v>FB0082</v>
      </c>
      <c r="B83" t="str">
        <f>'Training Feedback'!J83</f>
        <v>Pace was just right. I can apply the Excel shortcuts from tomorrow.</v>
      </c>
      <c r="C83" s="38" t="s">
        <v>508</v>
      </c>
      <c r="E83" s="40"/>
    </row>
    <row r="84" spans="1:5" ht="28.8" x14ac:dyDescent="0.25">
      <c r="A84" t="str">
        <f>'Training Feedback'!A84</f>
        <v>FB0083</v>
      </c>
      <c r="B84" t="str">
        <f>'Training Feedback'!J84</f>
        <v>Hands-on exercises were very useful. The trainer used real examples from our work.</v>
      </c>
      <c r="C84" s="38" t="s">
        <v>513</v>
      </c>
      <c r="E84" s="40"/>
    </row>
    <row r="85" spans="1:5" ht="14.4" x14ac:dyDescent="0.25">
      <c r="A85" t="str">
        <f>'Training Feedback'!A85</f>
        <v>FB0084</v>
      </c>
      <c r="B85" t="str">
        <f>'Training Feedback'!J85</f>
        <v>Hands-on exercises were very useful.</v>
      </c>
      <c r="C85" s="38" t="s">
        <v>510</v>
      </c>
      <c r="E85" s="40"/>
    </row>
    <row r="86" spans="1:5" ht="14.4" x14ac:dyDescent="0.25">
      <c r="A86" t="str">
        <f>'Training Feedback'!A86</f>
        <v>FB0085</v>
      </c>
      <c r="B86" t="str">
        <f>'Training Feedback'!J86</f>
        <v>Pace was just right.</v>
      </c>
      <c r="C86" s="38" t="s">
        <v>511</v>
      </c>
      <c r="E86" s="40"/>
    </row>
    <row r="87" spans="1:5" ht="43.2" x14ac:dyDescent="0.25">
      <c r="A87" t="str">
        <f>'Training Feedback'!A87</f>
        <v>FB0086</v>
      </c>
      <c r="B87" t="str">
        <f>'Training Feedback'!J87</f>
        <v>Session ran over time and felt rushed at the end. Room was noisy and the projector kept failing.</v>
      </c>
      <c r="C87" s="38" t="s">
        <v>517</v>
      </c>
      <c r="E87" s="40"/>
    </row>
    <row r="88" spans="1:5" ht="28.8" x14ac:dyDescent="0.25">
      <c r="A88" t="str">
        <f>'Training Feedback'!A88</f>
        <v>FB0087</v>
      </c>
      <c r="B88" t="str">
        <f>'Training Feedback'!J88</f>
        <v>Room was noisy and the projector kept failing.</v>
      </c>
      <c r="C88" s="38" t="s">
        <v>466</v>
      </c>
      <c r="E88" s="40"/>
    </row>
    <row r="89" spans="1:5" ht="28.8" x14ac:dyDescent="0.25">
      <c r="A89" t="str">
        <f>'Training Feedback'!A89</f>
        <v>FB0088</v>
      </c>
      <c r="B89" t="str">
        <f>'Training Feedback'!J89</f>
        <v>The trainer used real examples from our work. Hands-on exercises were very useful.</v>
      </c>
      <c r="C89" s="38" t="s">
        <v>513</v>
      </c>
      <c r="E89" s="40"/>
    </row>
    <row r="90" spans="1:5" ht="14.4" x14ac:dyDescent="0.25">
      <c r="A90" t="str">
        <f>'Training Feedback'!A90</f>
        <v>FB0089</v>
      </c>
      <c r="B90" t="str">
        <f>'Training Feedback'!J90</f>
        <v>Too much theory, not enough practice.</v>
      </c>
      <c r="C90" s="38" t="s">
        <v>510</v>
      </c>
      <c r="E90" s="40"/>
    </row>
    <row r="91" spans="1:5" ht="14.4" x14ac:dyDescent="0.25">
      <c r="A91" t="str">
        <f>'Training Feedback'!A91</f>
        <v>FB0090</v>
      </c>
      <c r="B91" t="str">
        <f>'Training Feedback'!J91</f>
        <v>Hands-on exercises were very useful.</v>
      </c>
      <c r="C91" s="38" t="s">
        <v>510</v>
      </c>
      <c r="E91" s="40"/>
    </row>
    <row r="92" spans="1:5" ht="28.8" x14ac:dyDescent="0.25">
      <c r="A92" t="str">
        <f>'Training Feedback'!A92</f>
        <v>FB0091</v>
      </c>
      <c r="B92" t="str">
        <f>'Training Feedback'!J92</f>
        <v>Hands-on exercises were very useful. Pace was just right.</v>
      </c>
      <c r="C92" s="38" t="s">
        <v>508</v>
      </c>
      <c r="E92" s="40"/>
    </row>
    <row r="93" spans="1:5" ht="14.4" x14ac:dyDescent="0.25">
      <c r="A93" t="str">
        <f>'Training Feedback'!A93</f>
        <v>FB0092</v>
      </c>
      <c r="B93" t="str">
        <f>'Training Feedback'!J93</f>
        <v>Pace was just right.</v>
      </c>
      <c r="C93" s="38" t="s">
        <v>511</v>
      </c>
      <c r="E93" s="40"/>
    </row>
    <row r="94" spans="1:5" ht="28.8" x14ac:dyDescent="0.25">
      <c r="A94" t="str">
        <f>'Training Feedback'!A94</f>
        <v>FB0093</v>
      </c>
      <c r="B94" t="str">
        <f>'Training Feedback'!J94</f>
        <v>Room was noisy and the projector kept failing.</v>
      </c>
      <c r="C94" s="38" t="s">
        <v>466</v>
      </c>
      <c r="E94" s="40"/>
    </row>
    <row r="95" spans="1:5" ht="14.4" x14ac:dyDescent="0.25">
      <c r="A95" t="str">
        <f>'Training Feedback'!A95</f>
        <v>FB0094</v>
      </c>
      <c r="B95" t="str">
        <f>'Training Feedback'!J95</f>
        <v>The trainer used real examples from our work.</v>
      </c>
      <c r="C95" s="38" t="s">
        <v>453</v>
      </c>
      <c r="E95" s="40"/>
    </row>
    <row r="96" spans="1:5" ht="28.8" x14ac:dyDescent="0.25">
      <c r="A96" t="str">
        <f>'Training Feedback'!A96</f>
        <v>FB0095</v>
      </c>
      <c r="B96" t="str">
        <f>'Training Feedback'!J96</f>
        <v>I can apply the Excel shortcuts from tomorrow. The trainer used real examples from our work.</v>
      </c>
      <c r="C96" s="38" t="s">
        <v>513</v>
      </c>
      <c r="E96" s="40"/>
    </row>
    <row r="97" spans="1:5" ht="28.8" x14ac:dyDescent="0.25">
      <c r="A97" t="str">
        <f>'Training Feedback'!A97</f>
        <v>FB0096</v>
      </c>
      <c r="B97" t="str">
        <f>'Training Feedback'!J97</f>
        <v>Session ran over time and felt rushed at the end. Too much theory, not enough practice.</v>
      </c>
      <c r="C97" s="38" t="s">
        <v>508</v>
      </c>
      <c r="E97" s="40"/>
    </row>
    <row r="98" spans="1:5" ht="14.4" x14ac:dyDescent="0.25">
      <c r="A98" t="str">
        <f>'Training Feedback'!A98</f>
        <v>FB0097</v>
      </c>
      <c r="B98" t="str">
        <f>'Training Feedback'!J98</f>
        <v>Session ran over time and felt rushed at the end.</v>
      </c>
      <c r="C98" s="38" t="s">
        <v>511</v>
      </c>
      <c r="E98" s="40"/>
    </row>
    <row r="99" spans="1:5" ht="28.8" x14ac:dyDescent="0.25">
      <c r="A99" t="str">
        <f>'Training Feedback'!A99</f>
        <v>FB0098</v>
      </c>
      <c r="B99" t="str">
        <f>'Training Feedback'!J99</f>
        <v>Pace was just right. The trainer used real examples from our work.</v>
      </c>
      <c r="C99" s="38" t="s">
        <v>509</v>
      </c>
      <c r="E99" s="40"/>
    </row>
    <row r="100" spans="1:5" ht="28.8" x14ac:dyDescent="0.25">
      <c r="A100" t="str">
        <f>'Training Feedback'!A100</f>
        <v>FB0099</v>
      </c>
      <c r="B100" t="str">
        <f>'Training Feedback'!J100</f>
        <v>Room was noisy and the projector kept failing.</v>
      </c>
      <c r="C100" s="38" t="s">
        <v>466</v>
      </c>
      <c r="E100" s="40"/>
    </row>
    <row r="101" spans="1:5" ht="14.4" x14ac:dyDescent="0.25">
      <c r="A101" t="str">
        <f>'Training Feedback'!A101</f>
        <v>FB0100</v>
      </c>
      <c r="B101" t="str">
        <f>'Training Feedback'!J101</f>
        <v>Content was too basic for experienced staff.</v>
      </c>
      <c r="C101" s="38" t="s">
        <v>452</v>
      </c>
      <c r="E101" s="40"/>
    </row>
    <row r="102" spans="1:5" ht="43.2" x14ac:dyDescent="0.25">
      <c r="A102" t="str">
        <f>'Training Feedback'!A102</f>
        <v>FB0101</v>
      </c>
      <c r="B102" t="str">
        <f>'Training Feedback'!J102</f>
        <v>Room was noisy and the projector kept failing. Session ran over time and felt rushed at the end.</v>
      </c>
      <c r="C102" s="38" t="s">
        <v>517</v>
      </c>
      <c r="E102" s="40"/>
    </row>
    <row r="103" spans="1:5" ht="14.4" x14ac:dyDescent="0.25">
      <c r="A103" t="str">
        <f>'Training Feedback'!A103</f>
        <v>FB0102</v>
      </c>
      <c r="B103" t="str">
        <f>'Training Feedback'!J103</f>
        <v>Hands-on exercises were very useful.</v>
      </c>
      <c r="C103" s="38" t="s">
        <v>510</v>
      </c>
      <c r="E103" s="40"/>
    </row>
    <row r="104" spans="1:5" ht="28.8" x14ac:dyDescent="0.25">
      <c r="A104" t="str">
        <f>'Training Feedback'!A104</f>
        <v>FB0103</v>
      </c>
      <c r="B104" t="str">
        <f>'Training Feedback'!J104</f>
        <v>I can apply the Excel shortcuts from tomorrow. The trainer used real examples from our work.</v>
      </c>
      <c r="C104" s="38" t="s">
        <v>513</v>
      </c>
      <c r="E104" s="40"/>
    </row>
    <row r="105" spans="1:5" ht="14.4" x14ac:dyDescent="0.25">
      <c r="A105" t="str">
        <f>'Training Feedback'!A105</f>
        <v>FB0104</v>
      </c>
      <c r="B105" t="str">
        <f>'Training Feedback'!J105</f>
        <v>Content was too basic for experienced staff.</v>
      </c>
      <c r="C105" s="38" t="s">
        <v>452</v>
      </c>
      <c r="E105" s="40"/>
    </row>
    <row r="106" spans="1:5" ht="14.4" x14ac:dyDescent="0.25">
      <c r="A106" t="str">
        <f>'Training Feedback'!A106</f>
        <v>FB0105</v>
      </c>
      <c r="B106" t="str">
        <f>'Training Feedback'!J106</f>
        <v>Session ran over time and felt rushed at the end.</v>
      </c>
      <c r="C106" s="38" t="s">
        <v>511</v>
      </c>
      <c r="E106" s="40"/>
    </row>
    <row r="107" spans="1:5" ht="28.8" x14ac:dyDescent="0.25">
      <c r="A107" t="str">
        <f>'Training Feedback'!A107</f>
        <v>FB0106</v>
      </c>
      <c r="B107" t="str">
        <f>'Training Feedback'!J107</f>
        <v>Pace was just right. The trainer used real examples from our work.</v>
      </c>
      <c r="C107" s="38" t="s">
        <v>509</v>
      </c>
      <c r="E107" s="40"/>
    </row>
    <row r="108" spans="1:5" ht="28.8" x14ac:dyDescent="0.25">
      <c r="A108" t="str">
        <f>'Training Feedback'!A108</f>
        <v>FB0107</v>
      </c>
      <c r="B108" t="str">
        <f>'Training Feedback'!J108</f>
        <v>Session ran over time and felt rushed at the end. Content was too basic for experienced staff.</v>
      </c>
      <c r="C108" s="38" t="s">
        <v>515</v>
      </c>
      <c r="E108" s="40"/>
    </row>
    <row r="109" spans="1:5" ht="14.4" x14ac:dyDescent="0.25">
      <c r="A109" t="str">
        <f>'Training Feedback'!A109</f>
        <v>FB0108</v>
      </c>
      <c r="B109" t="str">
        <f>'Training Feedback'!J109</f>
        <v>I can apply the Excel shortcuts from tomorrow.</v>
      </c>
      <c r="C109" s="38" t="s">
        <v>510</v>
      </c>
      <c r="E109" s="40"/>
    </row>
    <row r="110" spans="1:5" ht="28.8" x14ac:dyDescent="0.25">
      <c r="A110" t="str">
        <f>'Training Feedback'!A110</f>
        <v>FB0109</v>
      </c>
      <c r="B110" t="str">
        <f>'Training Feedback'!J110</f>
        <v>I can apply the Excel shortcuts from tomorrow. Pace was just right.</v>
      </c>
      <c r="C110" s="38" t="s">
        <v>508</v>
      </c>
      <c r="E110" s="40"/>
    </row>
    <row r="111" spans="1:5" ht="28.8" x14ac:dyDescent="0.25">
      <c r="A111" t="str">
        <f>'Training Feedback'!A111</f>
        <v>FB0110</v>
      </c>
      <c r="B111" t="str">
        <f>'Training Feedback'!J111</f>
        <v>Pace was just right. I can apply the Excel shortcuts from tomorrow.</v>
      </c>
      <c r="C111" s="38" t="s">
        <v>508</v>
      </c>
      <c r="E111" s="40"/>
    </row>
    <row r="112" spans="1:5" ht="14.4" x14ac:dyDescent="0.25">
      <c r="A112" t="str">
        <f>'Training Feedback'!A112</f>
        <v>FB0111</v>
      </c>
      <c r="B112" t="str">
        <f>'Training Feedback'!J112</f>
        <v>The trainer used real examples from our work.</v>
      </c>
      <c r="C112" s="38" t="s">
        <v>453</v>
      </c>
      <c r="E112" s="40"/>
    </row>
    <row r="113" spans="1:5" ht="14.4" x14ac:dyDescent="0.25">
      <c r="A113" t="str">
        <f>'Training Feedback'!A113</f>
        <v>FB0112</v>
      </c>
      <c r="B113" t="str">
        <f>'Training Feedback'!J113</f>
        <v>Too much theory, not enough practice.</v>
      </c>
      <c r="C113" s="38" t="s">
        <v>510</v>
      </c>
      <c r="E113" s="40"/>
    </row>
    <row r="114" spans="1:5" ht="28.8" x14ac:dyDescent="0.25">
      <c r="A114" t="str">
        <f>'Training Feedback'!A114</f>
        <v>FB0113</v>
      </c>
      <c r="B114" t="str">
        <f>'Training Feedback'!J114</f>
        <v>Hands-on exercises were very useful. The trainer used real examples from our work.</v>
      </c>
      <c r="C114" s="38" t="s">
        <v>513</v>
      </c>
      <c r="E114" s="40"/>
    </row>
    <row r="115" spans="1:5" ht="28.8" x14ac:dyDescent="0.25">
      <c r="A115" t="str">
        <f>'Training Feedback'!A115</f>
        <v>FB0114</v>
      </c>
      <c r="B115" t="str">
        <f>'Training Feedback'!J115</f>
        <v>I can apply the Excel shortcuts from tomorrow. Pace was just right.</v>
      </c>
      <c r="C115" s="38" t="s">
        <v>508</v>
      </c>
      <c r="E115" s="40"/>
    </row>
    <row r="116" spans="1:5" ht="28.8" x14ac:dyDescent="0.25">
      <c r="A116" t="str">
        <f>'Training Feedback'!A116</f>
        <v>FB0115</v>
      </c>
      <c r="B116" t="str">
        <f>'Training Feedback'!J116</f>
        <v>Too much theory, not enough practice. Content was too basic for experienced staff.</v>
      </c>
      <c r="C116" s="38" t="s">
        <v>514</v>
      </c>
      <c r="E116" s="40"/>
    </row>
    <row r="117" spans="1:5" ht="14.4" x14ac:dyDescent="0.25">
      <c r="A117" t="str">
        <f>'Training Feedback'!A117</f>
        <v>FB0116</v>
      </c>
      <c r="B117" t="str">
        <f>'Training Feedback'!J117</f>
        <v>Hands-on exercises were very useful. I can apply the Excel shortcuts from tomorrow.</v>
      </c>
      <c r="C117" s="38" t="s">
        <v>510</v>
      </c>
      <c r="E117" s="40"/>
    </row>
    <row r="118" spans="1:5" ht="28.8" x14ac:dyDescent="0.25">
      <c r="A118" t="str">
        <f>'Training Feedback'!A118</f>
        <v>FB0117</v>
      </c>
      <c r="B118" t="str">
        <f>'Training Feedback'!J118</f>
        <v>Content was too basic for experienced staff. Session ran over time and felt rushed at the end.</v>
      </c>
      <c r="C118" s="38" t="s">
        <v>515</v>
      </c>
      <c r="E118" s="40"/>
    </row>
    <row r="119" spans="1:5" ht="28.8" x14ac:dyDescent="0.25">
      <c r="A119" t="str">
        <f>'Training Feedback'!A119</f>
        <v>FB0118</v>
      </c>
      <c r="B119" t="str">
        <f>'Training Feedback'!J119</f>
        <v>The trainer used real examples from our work. I can apply the Excel shortcuts from tomorrow.</v>
      </c>
      <c r="C119" s="38" t="s">
        <v>513</v>
      </c>
      <c r="E119" s="40"/>
    </row>
    <row r="120" spans="1:5" ht="14.4" x14ac:dyDescent="0.25">
      <c r="A120" t="str">
        <f>'Training Feedback'!A120</f>
        <v>FB0119</v>
      </c>
      <c r="B120" t="str">
        <f>'Training Feedback'!J120</f>
        <v>The trainer used real examples from our work.</v>
      </c>
      <c r="C120" s="38" t="s">
        <v>453</v>
      </c>
      <c r="E120" s="40"/>
    </row>
    <row r="121" spans="1:5" ht="14.4" x14ac:dyDescent="0.25">
      <c r="A121" t="str">
        <f>'Training Feedback'!A121</f>
        <v>FB0120</v>
      </c>
      <c r="B121" t="str">
        <f>'Training Feedback'!J121</f>
        <v>Hands-on exercises were very useful.</v>
      </c>
      <c r="C121" s="38" t="s">
        <v>510</v>
      </c>
      <c r="E121" s="40"/>
    </row>
    <row r="122" spans="1:5" ht="14.4" x14ac:dyDescent="0.25">
      <c r="A122" t="str">
        <f>'Training Feedback'!A122</f>
        <v>FB0121</v>
      </c>
      <c r="B122" t="str">
        <f>'Training Feedback'!J122</f>
        <v>Session ran over time and felt rushed at the end.</v>
      </c>
      <c r="C122" s="38" t="s">
        <v>511</v>
      </c>
      <c r="E122" s="40"/>
    </row>
    <row r="123" spans="1:5" ht="14.4" x14ac:dyDescent="0.25">
      <c r="A123" t="str">
        <f>'Training Feedback'!A123</f>
        <v>FB0122</v>
      </c>
      <c r="B123" t="str">
        <f>'Training Feedback'!J123</f>
        <v>Pace was just right.</v>
      </c>
      <c r="C123" s="38" t="s">
        <v>511</v>
      </c>
      <c r="E123" s="40"/>
    </row>
    <row r="124" spans="1:5" ht="14.4" x14ac:dyDescent="0.25">
      <c r="A124" t="str">
        <f>'Training Feedback'!A124</f>
        <v>FB0123</v>
      </c>
      <c r="B124" t="str">
        <f>'Training Feedback'!J124</f>
        <v>The trainer used real examples from our work.</v>
      </c>
      <c r="C124" s="38" t="s">
        <v>453</v>
      </c>
      <c r="E124" s="40"/>
    </row>
    <row r="125" spans="1:5" ht="28.8" x14ac:dyDescent="0.25">
      <c r="A125" t="str">
        <f>'Training Feedback'!A125</f>
        <v>FB0124</v>
      </c>
      <c r="B125" t="str">
        <f>'Training Feedback'!J125</f>
        <v>Content was too basic for experienced staff. Too much theory, not enough practice.</v>
      </c>
      <c r="C125" s="38" t="s">
        <v>514</v>
      </c>
      <c r="E125" s="40"/>
    </row>
    <row r="126" spans="1:5" ht="14.4" x14ac:dyDescent="0.25">
      <c r="A126" t="str">
        <f>'Training Feedback'!A126</f>
        <v>FB0125</v>
      </c>
      <c r="B126" t="str">
        <f>'Training Feedback'!J126</f>
        <v>Too much theory, not enough practice.</v>
      </c>
      <c r="C126" s="38" t="s">
        <v>510</v>
      </c>
      <c r="E126" s="40"/>
    </row>
    <row r="127" spans="1:5" ht="43.2" x14ac:dyDescent="0.25">
      <c r="A127" t="str">
        <f>'Training Feedback'!A127</f>
        <v>FB0126</v>
      </c>
      <c r="B127" t="str">
        <f>'Training Feedback'!J127</f>
        <v>Session ran over time and felt rushed at the end. Room was noisy and the projector kept failing.</v>
      </c>
      <c r="C127" s="38" t="s">
        <v>517</v>
      </c>
      <c r="E127" s="40"/>
    </row>
    <row r="128" spans="1:5" ht="14.4" x14ac:dyDescent="0.25">
      <c r="A128" t="str">
        <f>'Training Feedback'!A128</f>
        <v>FB0127</v>
      </c>
      <c r="B128" t="str">
        <f>'Training Feedback'!J128</f>
        <v>The trainer used real examples from our work.</v>
      </c>
      <c r="C128" s="38" t="s">
        <v>453</v>
      </c>
      <c r="E128" s="40"/>
    </row>
    <row r="129" spans="1:5" ht="14.4" x14ac:dyDescent="0.25">
      <c r="A129" t="str">
        <f>'Training Feedback'!A129</f>
        <v>FB0128</v>
      </c>
      <c r="B129" t="str">
        <f>'Training Feedback'!J129</f>
        <v>Session ran over time and felt rushed at the end.</v>
      </c>
      <c r="C129" s="38" t="s">
        <v>511</v>
      </c>
      <c r="E129" s="40"/>
    </row>
    <row r="130" spans="1:5" ht="28.8" x14ac:dyDescent="0.25">
      <c r="A130" t="str">
        <f>'Training Feedback'!A130</f>
        <v>FB0129</v>
      </c>
      <c r="B130" t="str">
        <f>'Training Feedback'!J130</f>
        <v>I can apply the Excel shortcuts from tomorrow. The trainer used real examples from our work.</v>
      </c>
      <c r="C130" s="38" t="s">
        <v>513</v>
      </c>
      <c r="E130" s="40"/>
    </row>
    <row r="131" spans="1:5" ht="28.8" x14ac:dyDescent="0.25">
      <c r="A131" t="str">
        <f>'Training Feedback'!A131</f>
        <v>FB0130</v>
      </c>
      <c r="B131" t="str">
        <f>'Training Feedback'!J131</f>
        <v>I can apply the Excel shortcuts from tomorrow. Pace was just right.</v>
      </c>
      <c r="C131" s="38" t="s">
        <v>508</v>
      </c>
      <c r="E131" s="40"/>
    </row>
    <row r="132" spans="1:5" ht="43.2" x14ac:dyDescent="0.25">
      <c r="A132" t="str">
        <f>'Training Feedback'!A132</f>
        <v>FB0131</v>
      </c>
      <c r="B132" t="str">
        <f>'Training Feedback'!J132</f>
        <v>Room was noisy and the projector kept failing. Content was too basic for experienced staff.</v>
      </c>
      <c r="C132" s="38" t="s">
        <v>512</v>
      </c>
      <c r="E132" s="40"/>
    </row>
    <row r="133" spans="1:5" ht="28.8" x14ac:dyDescent="0.25">
      <c r="A133" t="str">
        <f>'Training Feedback'!A133</f>
        <v>FB0132</v>
      </c>
      <c r="B133" t="str">
        <f>'Training Feedback'!J133</f>
        <v>Pace was just right. I can apply the Excel shortcuts from tomorrow.</v>
      </c>
      <c r="C133" s="38" t="s">
        <v>508</v>
      </c>
      <c r="E133" s="40"/>
    </row>
    <row r="134" spans="1:5" ht="28.8" x14ac:dyDescent="0.25">
      <c r="A134" t="str">
        <f>'Training Feedback'!A134</f>
        <v>FB0133</v>
      </c>
      <c r="B134" t="str">
        <f>'Training Feedback'!J134</f>
        <v>The trainer used real examples from our work. Pace was just right.</v>
      </c>
      <c r="C134" s="38" t="s">
        <v>509</v>
      </c>
      <c r="E134" s="40"/>
    </row>
    <row r="135" spans="1:5" ht="14.4" x14ac:dyDescent="0.25">
      <c r="A135" t="str">
        <f>'Training Feedback'!A135</f>
        <v>FB0134</v>
      </c>
      <c r="B135" t="str">
        <f>'Training Feedback'!J135</f>
        <v>Hands-on exercises were very useful.</v>
      </c>
      <c r="C135" s="38" t="s">
        <v>510</v>
      </c>
      <c r="E135" s="40"/>
    </row>
    <row r="136" spans="1:5" ht="14.4" x14ac:dyDescent="0.25">
      <c r="A136" t="str">
        <f>'Training Feedback'!A136</f>
        <v>FB0135</v>
      </c>
      <c r="B136" t="str">
        <f>'Training Feedback'!J136</f>
        <v>The trainer used real examples from our work.</v>
      </c>
      <c r="C136" s="38" t="s">
        <v>453</v>
      </c>
      <c r="E136" s="40"/>
    </row>
    <row r="137" spans="1:5" ht="14.4" x14ac:dyDescent="0.25">
      <c r="A137" t="str">
        <f>'Training Feedback'!A137</f>
        <v>FB0136</v>
      </c>
      <c r="B137" t="str">
        <f>'Training Feedback'!J137</f>
        <v>I can apply the Excel shortcuts from tomorrow.</v>
      </c>
      <c r="C137" s="38" t="s">
        <v>510</v>
      </c>
      <c r="E137" s="40"/>
    </row>
    <row r="138" spans="1:5" ht="28.8" x14ac:dyDescent="0.25">
      <c r="A138" t="str">
        <f>'Training Feedback'!A138</f>
        <v>FB0137</v>
      </c>
      <c r="B138" t="str">
        <f>'Training Feedback'!J138</f>
        <v>Session ran over time and felt rushed at the end. Too much theory, not enough practice.</v>
      </c>
      <c r="C138" s="38" t="s">
        <v>508</v>
      </c>
      <c r="E138" s="40"/>
    </row>
    <row r="139" spans="1:5" ht="14.4" x14ac:dyDescent="0.25">
      <c r="A139" t="str">
        <f>'Training Feedback'!A139</f>
        <v>FB0138</v>
      </c>
      <c r="B139" t="str">
        <f>'Training Feedback'!J139</f>
        <v>Pace was just right.</v>
      </c>
      <c r="C139" s="38" t="s">
        <v>511</v>
      </c>
      <c r="E139" s="40"/>
    </row>
    <row r="140" spans="1:5" ht="28.8" x14ac:dyDescent="0.25">
      <c r="A140" t="str">
        <f>'Training Feedback'!A140</f>
        <v>FB0139</v>
      </c>
      <c r="B140" t="str">
        <f>'Training Feedback'!J140</f>
        <v>The trainer used real examples from our work. Pace was just right.</v>
      </c>
      <c r="C140" s="38" t="s">
        <v>509</v>
      </c>
      <c r="E140" s="40"/>
    </row>
    <row r="141" spans="1:5" ht="28.8" x14ac:dyDescent="0.25">
      <c r="A141" t="str">
        <f>'Training Feedback'!A141</f>
        <v>FB0140</v>
      </c>
      <c r="B141" t="str">
        <f>'Training Feedback'!J141</f>
        <v>Hands-on exercises were very useful. Pace was just right.</v>
      </c>
      <c r="C141" s="38" t="s">
        <v>508</v>
      </c>
      <c r="E141" s="40"/>
    </row>
    <row r="142" spans="1:5" ht="28.8" x14ac:dyDescent="0.25">
      <c r="A142" t="str">
        <f>'Training Feedback'!A142</f>
        <v>FB0141</v>
      </c>
      <c r="B142" t="str">
        <f>'Training Feedback'!J142</f>
        <v>Hands-on exercises were very useful. Pace was just right.</v>
      </c>
      <c r="C142" s="38" t="s">
        <v>508</v>
      </c>
      <c r="E142" s="40"/>
    </row>
    <row r="143" spans="1:5" ht="14.4" x14ac:dyDescent="0.25">
      <c r="A143" t="str">
        <f>'Training Feedback'!A143</f>
        <v>FB0142</v>
      </c>
      <c r="B143" t="str">
        <f>'Training Feedback'!J143</f>
        <v>The trainer used real examples from our work.</v>
      </c>
      <c r="C143" s="38" t="s">
        <v>453</v>
      </c>
      <c r="E143" s="40"/>
    </row>
    <row r="144" spans="1:5" ht="28.8" x14ac:dyDescent="0.25">
      <c r="A144" t="str">
        <f>'Training Feedback'!A144</f>
        <v>FB0143</v>
      </c>
      <c r="B144" t="str">
        <f>'Training Feedback'!J144</f>
        <v>The trainer used real examples from our work. Hands-on exercises were very useful.</v>
      </c>
      <c r="C144" s="38" t="s">
        <v>513</v>
      </c>
      <c r="E144" s="40"/>
    </row>
    <row r="145" spans="1:5" ht="14.4" x14ac:dyDescent="0.25">
      <c r="A145" t="str">
        <f>'Training Feedback'!A145</f>
        <v>FB0144</v>
      </c>
      <c r="B145" t="str">
        <f>'Training Feedback'!J145</f>
        <v>I can apply the Excel shortcuts from tomorrow.</v>
      </c>
      <c r="C145" s="38" t="s">
        <v>510</v>
      </c>
      <c r="E145" s="40"/>
    </row>
    <row r="146" spans="1:5" ht="14.4" x14ac:dyDescent="0.25">
      <c r="A146" t="str">
        <f>'Training Feedback'!A146</f>
        <v>FB0145</v>
      </c>
      <c r="B146" t="str">
        <f>'Training Feedback'!J146</f>
        <v>Pace was just right.</v>
      </c>
      <c r="C146" s="38" t="s">
        <v>511</v>
      </c>
      <c r="E146" s="40"/>
    </row>
    <row r="147" spans="1:5" ht="14.4" x14ac:dyDescent="0.25">
      <c r="A147" t="str">
        <f>'Training Feedback'!A147</f>
        <v>FB0146</v>
      </c>
      <c r="B147" t="str">
        <f>'Training Feedback'!J147</f>
        <v>Pace was just right.</v>
      </c>
      <c r="C147" s="38" t="s">
        <v>511</v>
      </c>
      <c r="E147" s="40"/>
    </row>
    <row r="148" spans="1:5" ht="28.8" x14ac:dyDescent="0.25">
      <c r="A148" t="str">
        <f>'Training Feedback'!A148</f>
        <v>FB0147</v>
      </c>
      <c r="B148" t="str">
        <f>'Training Feedback'!J148</f>
        <v>Pace was just right. The trainer used real examples from our work.</v>
      </c>
      <c r="C148" s="38" t="s">
        <v>509</v>
      </c>
      <c r="E148" s="40"/>
    </row>
    <row r="149" spans="1:5" ht="28.8" x14ac:dyDescent="0.25">
      <c r="A149" t="str">
        <f>'Training Feedback'!A149</f>
        <v>FB0148</v>
      </c>
      <c r="B149" t="str">
        <f>'Training Feedback'!J149</f>
        <v>Pace was just right. Hands-on exercises were very useful.</v>
      </c>
      <c r="C149" s="38" t="s">
        <v>508</v>
      </c>
      <c r="E149" s="40"/>
    </row>
    <row r="150" spans="1:5" ht="14.4" x14ac:dyDescent="0.25">
      <c r="A150" t="str">
        <f>'Training Feedback'!A150</f>
        <v>FB0149</v>
      </c>
      <c r="B150" t="str">
        <f>'Training Feedback'!J150</f>
        <v>Session ran over time and felt rushed at the end.</v>
      </c>
      <c r="C150" s="38" t="s">
        <v>511</v>
      </c>
      <c r="E150" s="40"/>
    </row>
    <row r="151" spans="1:5" ht="28.8" x14ac:dyDescent="0.25">
      <c r="A151" t="str">
        <f>'Training Feedback'!A151</f>
        <v>FB0150</v>
      </c>
      <c r="B151" t="str">
        <f>'Training Feedback'!J151</f>
        <v>Too much theory, not enough practice. Session ran over time and felt rushed at the end.</v>
      </c>
      <c r="C151" s="38" t="s">
        <v>508</v>
      </c>
      <c r="E151" s="40"/>
    </row>
    <row r="152" spans="1:5" ht="14.4" x14ac:dyDescent="0.25">
      <c r="A152" t="str">
        <f>'Training Feedback'!A152</f>
        <v>FB0151</v>
      </c>
      <c r="B152" t="str">
        <f>'Training Feedback'!J152</f>
        <v>Hands-on exercises were very useful.</v>
      </c>
      <c r="C152" s="38" t="s">
        <v>510</v>
      </c>
      <c r="E152" s="40"/>
    </row>
    <row r="153" spans="1:5" ht="14.4" x14ac:dyDescent="0.25">
      <c r="A153" t="str">
        <f>'Training Feedback'!A153</f>
        <v>FB0152</v>
      </c>
      <c r="B153" t="str">
        <f>'Training Feedback'!J153</f>
        <v>I can apply the Excel shortcuts from tomorrow.</v>
      </c>
      <c r="C153" s="38" t="s">
        <v>510</v>
      </c>
      <c r="E153" s="40"/>
    </row>
    <row r="154" spans="1:5" ht="14.4" x14ac:dyDescent="0.25">
      <c r="A154" t="str">
        <f>'Training Feedback'!A154</f>
        <v>FB0153</v>
      </c>
      <c r="B154" t="str">
        <f>'Training Feedback'!J154</f>
        <v>Content was too basic for experienced staff.</v>
      </c>
      <c r="C154" s="38" t="s">
        <v>452</v>
      </c>
      <c r="E154" s="40"/>
    </row>
    <row r="155" spans="1:5" ht="14.4" x14ac:dyDescent="0.25">
      <c r="A155" t="str">
        <f>'Training Feedback'!A155</f>
        <v>FB0154</v>
      </c>
      <c r="B155" t="str">
        <f>'Training Feedback'!J155</f>
        <v>Hands-on exercises were very useful.</v>
      </c>
      <c r="C155" s="38" t="s">
        <v>510</v>
      </c>
      <c r="E155" s="40"/>
    </row>
    <row r="156" spans="1:5" ht="28.8" x14ac:dyDescent="0.25">
      <c r="A156" t="str">
        <f>'Training Feedback'!A156</f>
        <v>FB0155</v>
      </c>
      <c r="B156" t="str">
        <f>'Training Feedback'!J156</f>
        <v>I can apply the Excel shortcuts from tomorrow. The trainer used real examples from our work.</v>
      </c>
      <c r="C156" s="38" t="s">
        <v>513</v>
      </c>
      <c r="E156" s="40"/>
    </row>
    <row r="157" spans="1:5" ht="14.4" x14ac:dyDescent="0.25">
      <c r="A157" t="str">
        <f>'Training Feedback'!A157</f>
        <v>FB0156</v>
      </c>
      <c r="B157" t="str">
        <f>'Training Feedback'!J157</f>
        <v>Hands-on exercises were very useful. I can apply the Excel shortcuts from tomorrow.</v>
      </c>
      <c r="C157" s="38" t="s">
        <v>510</v>
      </c>
      <c r="E157" s="40"/>
    </row>
    <row r="158" spans="1:5" ht="28.8" x14ac:dyDescent="0.25">
      <c r="A158" t="str">
        <f>'Training Feedback'!A158</f>
        <v>FB0157</v>
      </c>
      <c r="B158" t="str">
        <f>'Training Feedback'!J158</f>
        <v>Session ran over time and felt rushed at the end. Content was too basic for experienced staff.</v>
      </c>
      <c r="C158" s="38" t="s">
        <v>515</v>
      </c>
      <c r="E158" s="40"/>
    </row>
    <row r="159" spans="1:5" ht="14.4" x14ac:dyDescent="0.25">
      <c r="A159" t="str">
        <f>'Training Feedback'!A159</f>
        <v>FB0158</v>
      </c>
      <c r="B159" t="str">
        <f>'Training Feedback'!J159</f>
        <v>Pace was just right.</v>
      </c>
      <c r="C159" s="38" t="s">
        <v>511</v>
      </c>
      <c r="E159" s="40"/>
    </row>
    <row r="160" spans="1:5" ht="14.4" x14ac:dyDescent="0.25">
      <c r="A160" t="str">
        <f>'Training Feedback'!A160</f>
        <v>FB0159</v>
      </c>
      <c r="B160" t="str">
        <f>'Training Feedback'!J160</f>
        <v>I can apply the Excel shortcuts from tomorrow. Hands-on exercises were very useful.</v>
      </c>
      <c r="C160" s="38" t="s">
        <v>510</v>
      </c>
      <c r="E160" s="40"/>
    </row>
    <row r="161" spans="1:5" ht="14.4" x14ac:dyDescent="0.25">
      <c r="A161" t="str">
        <f>'Training Feedback'!A161</f>
        <v>FB0160</v>
      </c>
      <c r="B161" t="str">
        <f>'Training Feedback'!J161</f>
        <v>The trainer used real examples from our work.</v>
      </c>
      <c r="C161" s="38" t="s">
        <v>453</v>
      </c>
      <c r="E161" s="40"/>
    </row>
    <row r="162" spans="1:5" ht="14.4" x14ac:dyDescent="0.25">
      <c r="A162" t="str">
        <f>'Training Feedback'!A162</f>
        <v>FB0161</v>
      </c>
      <c r="B162" t="str">
        <f>'Training Feedback'!J162</f>
        <v>Content was too basic for experienced staff.</v>
      </c>
      <c r="C162" s="38" t="s">
        <v>452</v>
      </c>
      <c r="E162" s="40"/>
    </row>
    <row r="163" spans="1:5" ht="14.4" x14ac:dyDescent="0.25">
      <c r="A163" t="str">
        <f>'Training Feedback'!A163</f>
        <v>FB0162</v>
      </c>
      <c r="B163" t="str">
        <f>'Training Feedback'!J163</f>
        <v>I can apply the Excel shortcuts from tomorrow.</v>
      </c>
      <c r="C163" s="38" t="s">
        <v>510</v>
      </c>
      <c r="E163" s="40"/>
    </row>
    <row r="164" spans="1:5" ht="14.4" x14ac:dyDescent="0.25">
      <c r="A164" t="str">
        <f>'Training Feedback'!A164</f>
        <v>FB0163</v>
      </c>
      <c r="B164" t="str">
        <f>'Training Feedback'!J164</f>
        <v>Content was too basic for experienced staff.</v>
      </c>
      <c r="C164" s="38" t="s">
        <v>452</v>
      </c>
      <c r="E164" s="40"/>
    </row>
    <row r="165" spans="1:5" ht="43.2" x14ac:dyDescent="0.25">
      <c r="A165" t="str">
        <f>'Training Feedback'!A165</f>
        <v>FB0164</v>
      </c>
      <c r="B165" t="str">
        <f>'Training Feedback'!J165</f>
        <v>Room was noisy and the projector kept failing. Content was too basic for experienced staff.</v>
      </c>
      <c r="C165" s="38" t="s">
        <v>512</v>
      </c>
      <c r="E165" s="40"/>
    </row>
    <row r="166" spans="1:5" ht="14.4" x14ac:dyDescent="0.25">
      <c r="A166" t="str">
        <f>'Training Feedback'!A166</f>
        <v>FB0165</v>
      </c>
      <c r="B166" t="str">
        <f>'Training Feedback'!J166</f>
        <v>Hands-on exercises were very useful. I can apply the Excel shortcuts from tomorrow.</v>
      </c>
      <c r="C166" s="38" t="s">
        <v>510</v>
      </c>
      <c r="E166" s="40"/>
    </row>
    <row r="167" spans="1:5" ht="14.4" x14ac:dyDescent="0.25">
      <c r="A167" t="str">
        <f>'Training Feedback'!A167</f>
        <v>FB0166</v>
      </c>
      <c r="B167" t="str">
        <f>'Training Feedback'!J167</f>
        <v>Pace was just right.</v>
      </c>
      <c r="C167" s="38" t="s">
        <v>511</v>
      </c>
      <c r="E167" s="40"/>
    </row>
    <row r="168" spans="1:5" ht="43.2" x14ac:dyDescent="0.25">
      <c r="A168" t="str">
        <f>'Training Feedback'!A168</f>
        <v>FB0167</v>
      </c>
      <c r="B168" t="str">
        <f>'Training Feedback'!J168</f>
        <v>Too much theory, not enough practice. Room was noisy and the projector kept failing.</v>
      </c>
      <c r="C168" s="38" t="s">
        <v>516</v>
      </c>
      <c r="E168" s="40"/>
    </row>
    <row r="169" spans="1:5" ht="28.8" x14ac:dyDescent="0.25">
      <c r="A169" t="str">
        <f>'Training Feedback'!A169</f>
        <v>FB0168</v>
      </c>
      <c r="B169" t="str">
        <f>'Training Feedback'!J169</f>
        <v>Pace was just right. I can apply the Excel shortcuts from tomorrow.</v>
      </c>
      <c r="C169" s="38" t="s">
        <v>508</v>
      </c>
      <c r="E169" s="40"/>
    </row>
    <row r="170" spans="1:5" ht="28.8" x14ac:dyDescent="0.25">
      <c r="A170" t="str">
        <f>'Training Feedback'!A170</f>
        <v>FB0169</v>
      </c>
      <c r="B170" t="str">
        <f>'Training Feedback'!J170</f>
        <v>Too much theory, not enough practice. Content was too basic for experienced staff.</v>
      </c>
      <c r="C170" s="38" t="s">
        <v>514</v>
      </c>
      <c r="E170" s="40"/>
    </row>
    <row r="171" spans="1:5" ht="28.8" x14ac:dyDescent="0.25">
      <c r="A171" t="str">
        <f>'Training Feedback'!A171</f>
        <v>FB0170</v>
      </c>
      <c r="B171" t="str">
        <f>'Training Feedback'!J171</f>
        <v>Content was too basic for experienced staff. Session ran over time and felt rushed at the end.</v>
      </c>
      <c r="C171" s="38" t="s">
        <v>515</v>
      </c>
      <c r="E171" s="40"/>
    </row>
    <row r="172" spans="1:5" ht="43.2" x14ac:dyDescent="0.25">
      <c r="A172" t="str">
        <f>'Training Feedback'!A172</f>
        <v>FB0171</v>
      </c>
      <c r="B172" t="str">
        <f>'Training Feedback'!J172</f>
        <v>Too much theory, not enough practice. Room was noisy and the projector kept failing.</v>
      </c>
      <c r="C172" s="38" t="s">
        <v>516</v>
      </c>
      <c r="E172" s="40"/>
    </row>
    <row r="173" spans="1:5" ht="14.4" x14ac:dyDescent="0.25">
      <c r="A173" t="str">
        <f>'Training Feedback'!A173</f>
        <v>FB0172</v>
      </c>
      <c r="B173" t="str">
        <f>'Training Feedback'!J173</f>
        <v>Session ran over time and felt rushed at the end.</v>
      </c>
      <c r="C173" s="38" t="s">
        <v>511</v>
      </c>
      <c r="E173" s="40"/>
    </row>
    <row r="174" spans="1:5" ht="28.8" x14ac:dyDescent="0.25">
      <c r="A174" t="str">
        <f>'Training Feedback'!A174</f>
        <v>FB0173</v>
      </c>
      <c r="B174" t="str">
        <f>'Training Feedback'!J174</f>
        <v>I can apply the Excel shortcuts from tomorrow. The trainer used real examples from our work.</v>
      </c>
      <c r="C174" s="38" t="s">
        <v>513</v>
      </c>
      <c r="E174" s="40"/>
    </row>
    <row r="175" spans="1:5" ht="28.8" x14ac:dyDescent="0.25">
      <c r="A175" t="str">
        <f>'Training Feedback'!A175</f>
        <v>FB0174</v>
      </c>
      <c r="B175" t="str">
        <f>'Training Feedback'!J175</f>
        <v>Pace was just right. The trainer used real examples from our work.</v>
      </c>
      <c r="C175" s="38" t="s">
        <v>509</v>
      </c>
      <c r="E175" s="40"/>
    </row>
    <row r="176" spans="1:5" ht="14.4" x14ac:dyDescent="0.25">
      <c r="A176" t="str">
        <f>'Training Feedback'!A176</f>
        <v>FB0175</v>
      </c>
      <c r="B176" t="str">
        <f>'Training Feedback'!J176</f>
        <v>Content was too basic for experienced staff.</v>
      </c>
      <c r="C176" s="38" t="s">
        <v>452</v>
      </c>
      <c r="E176" s="40"/>
    </row>
    <row r="177" spans="1:5" ht="28.8" x14ac:dyDescent="0.25">
      <c r="A177" t="str">
        <f>'Training Feedback'!A177</f>
        <v>FB0176</v>
      </c>
      <c r="B177" t="str">
        <f>'Training Feedback'!J177</f>
        <v>Content was too basic for experienced staff. Session ran over time and felt rushed at the end.</v>
      </c>
      <c r="C177" s="38" t="s">
        <v>515</v>
      </c>
      <c r="E177" s="40"/>
    </row>
    <row r="178" spans="1:5" ht="14.4" x14ac:dyDescent="0.25">
      <c r="A178" t="str">
        <f>'Training Feedback'!A178</f>
        <v>FB0177</v>
      </c>
      <c r="B178" t="str">
        <f>'Training Feedback'!J178</f>
        <v>The trainer used real examples from our work.</v>
      </c>
      <c r="C178" s="38" t="s">
        <v>453</v>
      </c>
      <c r="E178" s="40"/>
    </row>
    <row r="179" spans="1:5" ht="28.8" x14ac:dyDescent="0.25">
      <c r="A179" t="str">
        <f>'Training Feedback'!A179</f>
        <v>FB0178</v>
      </c>
      <c r="B179" t="str">
        <f>'Training Feedback'!J179</f>
        <v>I can apply the Excel shortcuts from tomorrow. Pace was just right.</v>
      </c>
      <c r="C179" s="38" t="s">
        <v>508</v>
      </c>
      <c r="E179" s="40"/>
    </row>
    <row r="180" spans="1:5" ht="14.4" x14ac:dyDescent="0.25">
      <c r="A180" t="str">
        <f>'Training Feedback'!A180</f>
        <v>FB0179</v>
      </c>
      <c r="B180" t="str">
        <f>'Training Feedback'!J180</f>
        <v>Too much theory, not enough practice.</v>
      </c>
      <c r="C180" s="38" t="s">
        <v>510</v>
      </c>
      <c r="E180" s="40"/>
    </row>
    <row r="181" spans="1:5" ht="43.2" x14ac:dyDescent="0.25">
      <c r="A181" t="str">
        <f>'Training Feedback'!A181</f>
        <v>FB0180</v>
      </c>
      <c r="B181" t="str">
        <f>'Training Feedback'!J181</f>
        <v>Session ran over time and felt rushed at the end. Room was noisy and the projector kept failing.</v>
      </c>
      <c r="C181" s="38" t="s">
        <v>517</v>
      </c>
      <c r="E181" s="40"/>
    </row>
    <row r="182" spans="1:5" ht="14.4" x14ac:dyDescent="0.25">
      <c r="A182" t="str">
        <f>'Training Feedback'!A182</f>
        <v>FB0181</v>
      </c>
      <c r="B182" t="str">
        <f>'Training Feedback'!J182</f>
        <v>Hands-on exercises were very useful.</v>
      </c>
      <c r="C182" s="38" t="s">
        <v>510</v>
      </c>
      <c r="E182" s="40"/>
    </row>
    <row r="183" spans="1:5" ht="28.8" x14ac:dyDescent="0.25">
      <c r="A183" t="str">
        <f>'Training Feedback'!A183</f>
        <v>FB0182</v>
      </c>
      <c r="B183" t="str">
        <f>'Training Feedback'!J183</f>
        <v>Pace was just right. I can apply the Excel shortcuts from tomorrow.</v>
      </c>
      <c r="C183" s="38" t="s">
        <v>508</v>
      </c>
      <c r="E183" s="40"/>
    </row>
    <row r="184" spans="1:5" ht="43.2" x14ac:dyDescent="0.25">
      <c r="A184" t="str">
        <f>'Training Feedback'!A184</f>
        <v>FB0183</v>
      </c>
      <c r="B184" t="str">
        <f>'Training Feedback'!J184</f>
        <v>Too much theory, not enough practice. Room was noisy and the projector kept failing.</v>
      </c>
      <c r="C184" s="38" t="s">
        <v>516</v>
      </c>
      <c r="E184" s="40"/>
    </row>
    <row r="185" spans="1:5" ht="28.8" x14ac:dyDescent="0.25">
      <c r="A185" t="str">
        <f>'Training Feedback'!A185</f>
        <v>FB0184</v>
      </c>
      <c r="B185" t="str">
        <f>'Training Feedback'!J185</f>
        <v>Content was too basic for experienced staff. Too much theory, not enough practice.</v>
      </c>
      <c r="C185" s="38" t="s">
        <v>514</v>
      </c>
      <c r="E185" s="40"/>
    </row>
    <row r="186" spans="1:5" ht="14.4" x14ac:dyDescent="0.25">
      <c r="A186" t="str">
        <f>'Training Feedback'!A186</f>
        <v>FB0185</v>
      </c>
      <c r="B186" t="str">
        <f>'Training Feedback'!J186</f>
        <v>Session ran over time and felt rushed at the end.</v>
      </c>
      <c r="C186" s="38" t="s">
        <v>511</v>
      </c>
      <c r="E186" s="40"/>
    </row>
    <row r="187" spans="1:5" ht="14.4" x14ac:dyDescent="0.25">
      <c r="A187" t="str">
        <f>'Training Feedback'!A187</f>
        <v>FB0186</v>
      </c>
      <c r="B187" t="str">
        <f>'Training Feedback'!J187</f>
        <v>Too much theory, not enough practice.</v>
      </c>
      <c r="C187" s="38" t="s">
        <v>510</v>
      </c>
      <c r="E187" s="40"/>
    </row>
    <row r="188" spans="1:5" ht="14.4" x14ac:dyDescent="0.25">
      <c r="A188" t="str">
        <f>'Training Feedback'!A188</f>
        <v>FB0187</v>
      </c>
      <c r="B188" t="str">
        <f>'Training Feedback'!J188</f>
        <v>Hands-on exercises were very useful.</v>
      </c>
      <c r="C188" s="38" t="s">
        <v>510</v>
      </c>
      <c r="E188" s="40"/>
    </row>
    <row r="189" spans="1:5" ht="28.8" x14ac:dyDescent="0.25">
      <c r="A189" t="str">
        <f>'Training Feedback'!A189</f>
        <v>FB0188</v>
      </c>
      <c r="B189" t="str">
        <f>'Training Feedback'!J189</f>
        <v>The trainer used real examples from our work. Pace was just right.</v>
      </c>
      <c r="C189" s="38" t="s">
        <v>509</v>
      </c>
      <c r="E189" s="40"/>
    </row>
    <row r="190" spans="1:5" ht="14.4" x14ac:dyDescent="0.25">
      <c r="A190" t="str">
        <f>'Training Feedback'!A190</f>
        <v>FB0189</v>
      </c>
      <c r="B190" t="str">
        <f>'Training Feedback'!J190</f>
        <v>Too much theory, not enough practice.</v>
      </c>
      <c r="C190" s="38" t="s">
        <v>510</v>
      </c>
      <c r="E190" s="40"/>
    </row>
    <row r="191" spans="1:5" ht="43.2" x14ac:dyDescent="0.25">
      <c r="A191" t="str">
        <f>'Training Feedback'!A191</f>
        <v>FB0190</v>
      </c>
      <c r="B191" t="str">
        <f>'Training Feedback'!J191</f>
        <v>Room was noisy and the projector kept failing. Content was too basic for experienced staff.</v>
      </c>
      <c r="C191" s="38" t="s">
        <v>512</v>
      </c>
      <c r="E191" s="40"/>
    </row>
    <row r="192" spans="1:5" ht="28.8" x14ac:dyDescent="0.25">
      <c r="A192" t="str">
        <f>'Training Feedback'!A192</f>
        <v>FB0191</v>
      </c>
      <c r="B192" t="str">
        <f>'Training Feedback'!J192</f>
        <v>Pace was just right. I can apply the Excel shortcuts from tomorrow.</v>
      </c>
      <c r="C192" s="38" t="s">
        <v>508</v>
      </c>
      <c r="E192" s="40"/>
    </row>
    <row r="193" spans="1:5" ht="14.4" x14ac:dyDescent="0.25">
      <c r="A193" t="str">
        <f>'Training Feedback'!A193</f>
        <v>FB0192</v>
      </c>
      <c r="B193" t="str">
        <f>'Training Feedback'!J193</f>
        <v>Too much theory, not enough practice.</v>
      </c>
      <c r="C193" s="38" t="s">
        <v>510</v>
      </c>
      <c r="E193" s="40"/>
    </row>
    <row r="194" spans="1:5" ht="28.8" x14ac:dyDescent="0.25">
      <c r="A194" t="str">
        <f>'Training Feedback'!A194</f>
        <v>FB0193</v>
      </c>
      <c r="B194" t="str">
        <f>'Training Feedback'!J194</f>
        <v>The trainer used real examples from our work. I can apply the Excel shortcuts from tomorrow.</v>
      </c>
      <c r="C194" s="38" t="s">
        <v>513</v>
      </c>
      <c r="E194" s="40"/>
    </row>
    <row r="195" spans="1:5" ht="28.8" x14ac:dyDescent="0.25">
      <c r="A195" t="str">
        <f>'Training Feedback'!A195</f>
        <v>FB0194</v>
      </c>
      <c r="B195" t="str">
        <f>'Training Feedback'!J195</f>
        <v>Hands-on exercises were very useful. Pace was just right.</v>
      </c>
      <c r="C195" s="38" t="s">
        <v>508</v>
      </c>
      <c r="E195" s="40"/>
    </row>
    <row r="196" spans="1:5" ht="43.2" x14ac:dyDescent="0.25">
      <c r="A196" t="str">
        <f>'Training Feedback'!A196</f>
        <v>FB0195</v>
      </c>
      <c r="B196" t="str">
        <f>'Training Feedback'!J196</f>
        <v>Session ran over time and felt rushed at the end. Room was noisy and the projector kept failing.</v>
      </c>
      <c r="C196" s="38" t="s">
        <v>517</v>
      </c>
      <c r="E196" s="40"/>
    </row>
    <row r="197" spans="1:5" ht="14.4" x14ac:dyDescent="0.25">
      <c r="A197" t="str">
        <f>'Training Feedback'!A197</f>
        <v>FB0196</v>
      </c>
      <c r="B197" t="str">
        <f>'Training Feedback'!J197</f>
        <v>The trainer used real examples from our work.</v>
      </c>
      <c r="C197" s="38" t="s">
        <v>453</v>
      </c>
      <c r="E197" s="40"/>
    </row>
    <row r="198" spans="1:5" ht="14.4" x14ac:dyDescent="0.25">
      <c r="A198" t="str">
        <f>'Training Feedback'!A198</f>
        <v>FB0197</v>
      </c>
      <c r="B198" t="str">
        <f>'Training Feedback'!J198</f>
        <v>Too much theory, not enough practice.</v>
      </c>
      <c r="C198" s="38" t="s">
        <v>510</v>
      </c>
      <c r="E198" s="40"/>
    </row>
    <row r="199" spans="1:5" ht="14.4" x14ac:dyDescent="0.25">
      <c r="A199" t="str">
        <f>'Training Feedback'!A199</f>
        <v>FB0198</v>
      </c>
      <c r="B199" t="str">
        <f>'Training Feedback'!J199</f>
        <v>The trainer used real examples from our work.</v>
      </c>
      <c r="C199" s="38" t="s">
        <v>453</v>
      </c>
      <c r="E199" s="40"/>
    </row>
    <row r="200" spans="1:5" ht="28.8" x14ac:dyDescent="0.25">
      <c r="A200" t="str">
        <f>'Training Feedback'!A200</f>
        <v>FB0199</v>
      </c>
      <c r="B200" t="str">
        <f>'Training Feedback'!J200</f>
        <v>Session ran over time and felt rushed at the end. Too much theory, not enough practice.</v>
      </c>
      <c r="C200" s="38" t="s">
        <v>508</v>
      </c>
      <c r="E200" s="40"/>
    </row>
    <row r="201" spans="1:5" ht="14.4" x14ac:dyDescent="0.25">
      <c r="A201" t="str">
        <f>'Training Feedback'!A201</f>
        <v>FB0200</v>
      </c>
      <c r="B201" t="str">
        <f>'Training Feedback'!J201</f>
        <v>The trainer used real examples from our work.</v>
      </c>
      <c r="C201" s="38" t="s">
        <v>453</v>
      </c>
      <c r="E201" s="40"/>
    </row>
    <row r="202" spans="1:5" ht="14.4" x14ac:dyDescent="0.25">
      <c r="A202" t="str">
        <f>'Training Feedback'!A202</f>
        <v>FB0201</v>
      </c>
      <c r="B202" t="str">
        <f>'Training Feedback'!J202</f>
        <v>The trainer used real examples from our work.</v>
      </c>
      <c r="C202" s="38" t="s">
        <v>453</v>
      </c>
      <c r="E202" s="40"/>
    </row>
    <row r="203" spans="1:5" ht="28.8" x14ac:dyDescent="0.25">
      <c r="A203" t="str">
        <f>'Training Feedback'!A203</f>
        <v>FB0202</v>
      </c>
      <c r="B203" t="str">
        <f>'Training Feedback'!J203</f>
        <v>Content was too basic for experienced staff. Too much theory, not enough practice.</v>
      </c>
      <c r="C203" s="38" t="s">
        <v>514</v>
      </c>
      <c r="E203" s="40"/>
    </row>
    <row r="204" spans="1:5" ht="14.4" x14ac:dyDescent="0.25">
      <c r="A204" t="str">
        <f>'Training Feedback'!A204</f>
        <v>FB0203</v>
      </c>
      <c r="B204" t="str">
        <f>'Training Feedback'!J204</f>
        <v>Hands-on exercises were very useful. I can apply the Excel shortcuts from tomorrow.</v>
      </c>
      <c r="C204" s="38" t="s">
        <v>510</v>
      </c>
      <c r="E204" s="40"/>
    </row>
    <row r="205" spans="1:5" ht="14.4" x14ac:dyDescent="0.25">
      <c r="A205" t="str">
        <f>'Training Feedback'!A205</f>
        <v>FB0204</v>
      </c>
      <c r="B205" t="str">
        <f>'Training Feedback'!J205</f>
        <v>Session ran over time and felt rushed at the end.</v>
      </c>
      <c r="C205" s="38" t="s">
        <v>511</v>
      </c>
      <c r="E205" s="40"/>
    </row>
    <row r="206" spans="1:5" ht="14.4" x14ac:dyDescent="0.25">
      <c r="A206" t="str">
        <f>'Training Feedback'!A206</f>
        <v>FB0205</v>
      </c>
      <c r="B206" t="str">
        <f>'Training Feedback'!J206</f>
        <v>The trainer used real examples from our work.</v>
      </c>
      <c r="C206" s="38" t="s">
        <v>453</v>
      </c>
      <c r="E206" s="40"/>
    </row>
    <row r="207" spans="1:5" ht="43.2" x14ac:dyDescent="0.25">
      <c r="A207" t="str">
        <f>'Training Feedback'!A207</f>
        <v>FB0206</v>
      </c>
      <c r="B207" t="str">
        <f>'Training Feedback'!J207</f>
        <v>Content was too basic for experienced staff. Room was noisy and the projector kept failing.</v>
      </c>
      <c r="C207" s="38" t="s">
        <v>512</v>
      </c>
      <c r="E207" s="40"/>
    </row>
    <row r="208" spans="1:5" ht="14.4" x14ac:dyDescent="0.25">
      <c r="A208" t="str">
        <f>'Training Feedback'!A208</f>
        <v>FB0207</v>
      </c>
      <c r="B208" t="str">
        <f>'Training Feedback'!J208</f>
        <v>Content was too basic for experienced staff.</v>
      </c>
      <c r="C208" s="38" t="s">
        <v>452</v>
      </c>
      <c r="E208" s="40"/>
    </row>
    <row r="209" spans="1:5" ht="14.4" x14ac:dyDescent="0.25">
      <c r="A209" t="str">
        <f>'Training Feedback'!A209</f>
        <v>FB0208</v>
      </c>
      <c r="B209" t="str">
        <f>'Training Feedback'!J209</f>
        <v>Hands-on exercises were very useful.</v>
      </c>
      <c r="C209" s="38" t="s">
        <v>510</v>
      </c>
      <c r="E209" s="40"/>
    </row>
    <row r="210" spans="1:5" ht="14.4" x14ac:dyDescent="0.25">
      <c r="A210" t="str">
        <f>'Training Feedback'!A210</f>
        <v>FB0209</v>
      </c>
      <c r="B210" t="str">
        <f>'Training Feedback'!J210</f>
        <v>Session ran over time and felt rushed at the end.</v>
      </c>
      <c r="C210" s="38" t="s">
        <v>511</v>
      </c>
      <c r="E210" s="40"/>
    </row>
    <row r="211" spans="1:5" ht="14.4" x14ac:dyDescent="0.25">
      <c r="A211" t="str">
        <f>'Training Feedback'!A211</f>
        <v>FB0210</v>
      </c>
      <c r="B211" t="str">
        <f>'Training Feedback'!J211</f>
        <v>Too much theory, not enough practice.</v>
      </c>
      <c r="C211" s="38" t="s">
        <v>510</v>
      </c>
      <c r="E211" s="40"/>
    </row>
    <row r="212" spans="1:5" ht="28.8" x14ac:dyDescent="0.25">
      <c r="A212" t="str">
        <f>'Training Feedback'!A212</f>
        <v>FB0211</v>
      </c>
      <c r="B212" t="str">
        <f>'Training Feedback'!J212</f>
        <v>Room was noisy and the projector kept failing.</v>
      </c>
      <c r="C212" s="38" t="s">
        <v>466</v>
      </c>
      <c r="E212" s="40"/>
    </row>
    <row r="213" spans="1:5" ht="14.4" x14ac:dyDescent="0.25">
      <c r="A213" t="str">
        <f>'Training Feedback'!A213</f>
        <v>FB0212</v>
      </c>
      <c r="B213" t="str">
        <f>'Training Feedback'!J213</f>
        <v>Session ran over time and felt rushed at the end.</v>
      </c>
      <c r="C213" s="38" t="s">
        <v>511</v>
      </c>
      <c r="E213" s="40"/>
    </row>
    <row r="214" spans="1:5" ht="28.8" x14ac:dyDescent="0.25">
      <c r="A214" t="str">
        <f>'Training Feedback'!A214</f>
        <v>FB0213</v>
      </c>
      <c r="B214" t="str">
        <f>'Training Feedback'!J214</f>
        <v>Hands-on exercises were very useful. Pace was just right.</v>
      </c>
      <c r="C214" s="38" t="s">
        <v>508</v>
      </c>
      <c r="E214" s="40"/>
    </row>
    <row r="215" spans="1:5" ht="28.8" x14ac:dyDescent="0.25">
      <c r="A215" t="str">
        <f>'Training Feedback'!A215</f>
        <v>FB0214</v>
      </c>
      <c r="B215" t="str">
        <f>'Training Feedback'!J215</f>
        <v>The trainer used real examples from our work. I can apply the Excel shortcuts from tomorrow.</v>
      </c>
      <c r="C215" s="38" t="s">
        <v>513</v>
      </c>
      <c r="E215" s="40"/>
    </row>
    <row r="216" spans="1:5" ht="28.8" x14ac:dyDescent="0.25">
      <c r="A216" t="str">
        <f>'Training Feedback'!A216</f>
        <v>FB0215</v>
      </c>
      <c r="B216" t="str">
        <f>'Training Feedback'!J216</f>
        <v>Session ran over time and felt rushed at the end. Too much theory, not enough practice.</v>
      </c>
      <c r="C216" s="38" t="s">
        <v>508</v>
      </c>
      <c r="E216" s="40"/>
    </row>
    <row r="217" spans="1:5" ht="14.4" x14ac:dyDescent="0.25">
      <c r="A217" t="str">
        <f>'Training Feedback'!A217</f>
        <v>FB0216</v>
      </c>
      <c r="B217" t="str">
        <f>'Training Feedback'!J217</f>
        <v>Session ran over time and felt rushed at the end.</v>
      </c>
      <c r="C217" s="38" t="s">
        <v>511</v>
      </c>
      <c r="E217" s="40"/>
    </row>
    <row r="218" spans="1:5" ht="28.8" x14ac:dyDescent="0.25">
      <c r="A218" t="str">
        <f>'Training Feedback'!A218</f>
        <v>FB0217</v>
      </c>
      <c r="B218" t="str">
        <f>'Training Feedback'!J218</f>
        <v>Pace was just right. The trainer used real examples from our work.</v>
      </c>
      <c r="C218" s="38" t="s">
        <v>509</v>
      </c>
      <c r="E218" s="40"/>
    </row>
    <row r="219" spans="1:5" ht="43.2" x14ac:dyDescent="0.25">
      <c r="A219" t="str">
        <f>'Training Feedback'!A219</f>
        <v>FB0218</v>
      </c>
      <c r="B219" t="str">
        <f>'Training Feedback'!J219</f>
        <v>Room was noisy and the projector kept failing. Content was too basic for experienced staff.</v>
      </c>
      <c r="C219" s="38" t="s">
        <v>512</v>
      </c>
      <c r="E219" s="40"/>
    </row>
    <row r="220" spans="1:5" ht="28.8" x14ac:dyDescent="0.25">
      <c r="A220" t="str">
        <f>'Training Feedback'!A220</f>
        <v>FB0219</v>
      </c>
      <c r="B220" t="str">
        <f>'Training Feedback'!J220</f>
        <v>The trainer used real examples from our work. I can apply the Excel shortcuts from tomorrow.</v>
      </c>
      <c r="C220" s="38" t="s">
        <v>513</v>
      </c>
      <c r="E220" s="40"/>
    </row>
    <row r="221" spans="1:5" ht="28.8" x14ac:dyDescent="0.25">
      <c r="A221" t="str">
        <f>'Training Feedback'!A221</f>
        <v>FB0220</v>
      </c>
      <c r="B221" t="str">
        <f>'Training Feedback'!J221</f>
        <v>I can apply the Excel shortcuts from tomorrow. Pace was just right.</v>
      </c>
      <c r="C221" s="38" t="s">
        <v>508</v>
      </c>
      <c r="E221" s="40"/>
    </row>
    <row r="222" spans="1:5" ht="28.8" x14ac:dyDescent="0.25">
      <c r="A222" t="str">
        <f>'Training Feedback'!A222</f>
        <v>FB0221</v>
      </c>
      <c r="B222" t="str">
        <f>'Training Feedback'!J222</f>
        <v>The trainer used real examples from our work. I can apply the Excel shortcuts from tomorrow.</v>
      </c>
      <c r="C222" s="38" t="s">
        <v>513</v>
      </c>
      <c r="E222" s="40"/>
    </row>
    <row r="223" spans="1:5" ht="14.4" x14ac:dyDescent="0.25">
      <c r="A223" t="str">
        <f>'Training Feedback'!A223</f>
        <v>FB0222</v>
      </c>
      <c r="B223" t="str">
        <f>'Training Feedback'!J223</f>
        <v>Pace was just right.</v>
      </c>
      <c r="C223" s="38" t="s">
        <v>511</v>
      </c>
      <c r="E223" s="40"/>
    </row>
    <row r="224" spans="1:5" ht="14.4" x14ac:dyDescent="0.25">
      <c r="A224" t="str">
        <f>'Training Feedback'!A224</f>
        <v>FB0223</v>
      </c>
      <c r="B224" t="str">
        <f>'Training Feedback'!J224</f>
        <v>Hands-on exercises were very useful.</v>
      </c>
      <c r="C224" s="38" t="s">
        <v>510</v>
      </c>
      <c r="E224" s="40"/>
    </row>
    <row r="225" spans="1:5" ht="28.8" x14ac:dyDescent="0.25">
      <c r="A225" t="str">
        <f>'Training Feedback'!A225</f>
        <v>FB0224</v>
      </c>
      <c r="B225" t="str">
        <f>'Training Feedback'!J225</f>
        <v>I can apply the Excel shortcuts from tomorrow. The trainer used real examples from our work.</v>
      </c>
      <c r="C225" s="38" t="s">
        <v>513</v>
      </c>
      <c r="E225" s="40"/>
    </row>
    <row r="226" spans="1:5" ht="28.8" x14ac:dyDescent="0.25">
      <c r="A226" t="str">
        <f>'Training Feedback'!A226</f>
        <v>FB0225</v>
      </c>
      <c r="B226" t="str">
        <f>'Training Feedback'!J226</f>
        <v>Pace was just right. The trainer used real examples from our work.</v>
      </c>
      <c r="C226" s="38" t="s">
        <v>509</v>
      </c>
      <c r="E226" s="40"/>
    </row>
    <row r="227" spans="1:5" ht="14.4" x14ac:dyDescent="0.25">
      <c r="A227" t="str">
        <f>'Training Feedback'!A227</f>
        <v>FB0226</v>
      </c>
      <c r="B227" t="str">
        <f>'Training Feedback'!J227</f>
        <v>Pace was just right.</v>
      </c>
      <c r="C227" s="38" t="s">
        <v>511</v>
      </c>
      <c r="E227" s="40"/>
    </row>
    <row r="228" spans="1:5" ht="28.8" x14ac:dyDescent="0.25">
      <c r="A228" t="str">
        <f>'Training Feedback'!A228</f>
        <v>FB0227</v>
      </c>
      <c r="B228" t="str">
        <f>'Training Feedback'!J228</f>
        <v>Hands-on exercises were very useful. The trainer used real examples from our work.</v>
      </c>
      <c r="C228" s="38" t="s">
        <v>513</v>
      </c>
      <c r="E228" s="40"/>
    </row>
    <row r="229" spans="1:5" ht="14.4" x14ac:dyDescent="0.25">
      <c r="A229" t="str">
        <f>'Training Feedback'!A229</f>
        <v>FB0228</v>
      </c>
      <c r="B229" t="str">
        <f>'Training Feedback'!J229</f>
        <v>Content was too basic for experienced staff.</v>
      </c>
      <c r="C229" s="38" t="s">
        <v>452</v>
      </c>
      <c r="E229" s="40"/>
    </row>
    <row r="230" spans="1:5" ht="14.4" x14ac:dyDescent="0.25">
      <c r="A230" t="str">
        <f>'Training Feedback'!A230</f>
        <v>FB0229</v>
      </c>
      <c r="B230" t="str">
        <f>'Training Feedback'!J230</f>
        <v>Too much theory, not enough practice.</v>
      </c>
      <c r="C230" s="38" t="s">
        <v>510</v>
      </c>
      <c r="E230" s="40"/>
    </row>
    <row r="231" spans="1:5" ht="28.8" x14ac:dyDescent="0.25">
      <c r="A231" t="str">
        <f>'Training Feedback'!A231</f>
        <v>FB0230</v>
      </c>
      <c r="B231" t="str">
        <f>'Training Feedback'!J231</f>
        <v>Too much theory, not enough practice. Session ran over time and felt rushed at the end.</v>
      </c>
      <c r="C231" s="38" t="s">
        <v>508</v>
      </c>
      <c r="E231" s="40"/>
    </row>
    <row r="232" spans="1:5" ht="14.4" x14ac:dyDescent="0.25">
      <c r="A232" t="str">
        <f>'Training Feedback'!A232</f>
        <v>FB0231</v>
      </c>
      <c r="B232" t="str">
        <f>'Training Feedback'!J232</f>
        <v>I can apply the Excel shortcuts from tomorrow. Hands-on exercises were very useful.</v>
      </c>
      <c r="C232" s="38" t="s">
        <v>510</v>
      </c>
      <c r="E232" s="40"/>
    </row>
    <row r="233" spans="1:5" ht="14.4" x14ac:dyDescent="0.25">
      <c r="A233" t="str">
        <f>'Training Feedback'!A233</f>
        <v>FB0232</v>
      </c>
      <c r="B233" t="str">
        <f>'Training Feedback'!J233</f>
        <v>Pace was just right.</v>
      </c>
      <c r="C233" s="38" t="s">
        <v>511</v>
      </c>
      <c r="E233" s="40"/>
    </row>
    <row r="234" spans="1:5" ht="43.2" x14ac:dyDescent="0.25">
      <c r="A234" t="str">
        <f>'Training Feedback'!A234</f>
        <v>FB0233</v>
      </c>
      <c r="B234" t="str">
        <f>'Training Feedback'!J234</f>
        <v>Room was noisy and the projector kept failing. Session ran over time and felt rushed at the end.</v>
      </c>
      <c r="C234" s="38" t="s">
        <v>517</v>
      </c>
      <c r="E234" s="40"/>
    </row>
    <row r="235" spans="1:5" ht="14.4" x14ac:dyDescent="0.25">
      <c r="A235" t="str">
        <f>'Training Feedback'!A235</f>
        <v>FB0234</v>
      </c>
      <c r="B235" t="str">
        <f>'Training Feedback'!J235</f>
        <v>Content was too basic for experienced staff.</v>
      </c>
      <c r="C235" s="38" t="s">
        <v>452</v>
      </c>
      <c r="E235" s="40"/>
    </row>
    <row r="236" spans="1:5" ht="28.8" x14ac:dyDescent="0.25">
      <c r="A236" t="str">
        <f>'Training Feedback'!A236</f>
        <v>FB0235</v>
      </c>
      <c r="B236" t="str">
        <f>'Training Feedback'!J236</f>
        <v>Pace was just right. I can apply the Excel shortcuts from tomorrow.</v>
      </c>
      <c r="C236" s="38" t="s">
        <v>508</v>
      </c>
      <c r="E236" s="40"/>
    </row>
    <row r="237" spans="1:5" ht="14.4" x14ac:dyDescent="0.25">
      <c r="A237" t="str">
        <f>'Training Feedback'!A237</f>
        <v>FB0236</v>
      </c>
      <c r="B237" t="str">
        <f>'Training Feedback'!J237</f>
        <v>I can apply the Excel shortcuts from tomorrow.</v>
      </c>
      <c r="C237" s="38" t="s">
        <v>510</v>
      </c>
      <c r="E237" s="40"/>
    </row>
    <row r="238" spans="1:5" ht="28.8" x14ac:dyDescent="0.25">
      <c r="A238" t="str">
        <f>'Training Feedback'!A238</f>
        <v>FB0237</v>
      </c>
      <c r="B238" t="str">
        <f>'Training Feedback'!J238</f>
        <v>Pace was just right. Hands-on exercises were very useful.</v>
      </c>
      <c r="C238" s="38" t="s">
        <v>508</v>
      </c>
      <c r="E238" s="40"/>
    </row>
    <row r="239" spans="1:5" ht="43.2" x14ac:dyDescent="0.25">
      <c r="A239" t="str">
        <f>'Training Feedback'!A239</f>
        <v>FB0238</v>
      </c>
      <c r="B239" t="str">
        <f>'Training Feedback'!J239</f>
        <v>Content was too basic for experienced staff. Room was noisy and the projector kept failing.</v>
      </c>
      <c r="C239" s="38" t="s">
        <v>512</v>
      </c>
      <c r="E239" s="40"/>
    </row>
    <row r="240" spans="1:5" ht="28.8" x14ac:dyDescent="0.25">
      <c r="A240" t="str">
        <f>'Training Feedback'!A240</f>
        <v>FB0239</v>
      </c>
      <c r="B240" t="str">
        <f>'Training Feedback'!J240</f>
        <v>Hands-on exercises were very useful. The trainer used real examples from our work.</v>
      </c>
      <c r="C240" s="38" t="s">
        <v>513</v>
      </c>
      <c r="E240" s="40"/>
    </row>
    <row r="241" spans="1:5" ht="14.4" x14ac:dyDescent="0.25">
      <c r="A241" t="str">
        <f>'Training Feedback'!A241</f>
        <v>FB0240</v>
      </c>
      <c r="B241" t="str">
        <f>'Training Feedback'!J241</f>
        <v>The trainer used real examples from our work.</v>
      </c>
      <c r="C241" s="38" t="s">
        <v>453</v>
      </c>
      <c r="E241" s="40"/>
    </row>
    <row r="242" spans="1:5" ht="14.4" x14ac:dyDescent="0.25">
      <c r="A242" t="str">
        <f>'Training Feedback'!A242</f>
        <v>FB0241</v>
      </c>
      <c r="B242" t="str">
        <f>'Training Feedback'!J242</f>
        <v>I can apply the Excel shortcuts from tomorrow. Hands-on exercises were very useful.</v>
      </c>
      <c r="C242" s="38" t="s">
        <v>510</v>
      </c>
      <c r="E242" s="40"/>
    </row>
    <row r="243" spans="1:5" ht="28.8" x14ac:dyDescent="0.25">
      <c r="A243" t="str">
        <f>'Training Feedback'!A243</f>
        <v>FB0242</v>
      </c>
      <c r="B243" t="str">
        <f>'Training Feedback'!J243</f>
        <v>Session ran over time and felt rushed at the end. Too much theory, not enough practice.</v>
      </c>
      <c r="C243" s="38" t="s">
        <v>508</v>
      </c>
      <c r="E243" s="40"/>
    </row>
    <row r="244" spans="1:5" ht="14.4" x14ac:dyDescent="0.25">
      <c r="A244" t="str">
        <f>'Training Feedback'!A244</f>
        <v>FB0243</v>
      </c>
      <c r="B244" t="str">
        <f>'Training Feedback'!J244</f>
        <v>The trainer used real examples from our work.</v>
      </c>
      <c r="C244" s="38" t="s">
        <v>453</v>
      </c>
      <c r="E244" s="40"/>
    </row>
    <row r="245" spans="1:5" ht="28.8" x14ac:dyDescent="0.25">
      <c r="A245" t="str">
        <f>'Training Feedback'!A245</f>
        <v>FB0244</v>
      </c>
      <c r="B245" t="str">
        <f>'Training Feedback'!J245</f>
        <v>Hands-on exercises were very useful. Pace was just right.</v>
      </c>
      <c r="C245" s="38" t="s">
        <v>508</v>
      </c>
      <c r="E245" s="40"/>
    </row>
    <row r="246" spans="1:5" ht="14.4" x14ac:dyDescent="0.25">
      <c r="A246" t="str">
        <f>'Training Feedback'!A246</f>
        <v>FB0245</v>
      </c>
      <c r="B246" t="str">
        <f>'Training Feedback'!J246</f>
        <v>Hands-on exercises were very useful.</v>
      </c>
      <c r="C246" s="38" t="s">
        <v>510</v>
      </c>
      <c r="E246" s="40"/>
    </row>
    <row r="247" spans="1:5" ht="28.8" x14ac:dyDescent="0.25">
      <c r="A247" t="str">
        <f>'Training Feedback'!A247</f>
        <v>FB0246</v>
      </c>
      <c r="B247" t="str">
        <f>'Training Feedback'!J247</f>
        <v>Pace was just right. The trainer used real examples from our work.</v>
      </c>
      <c r="C247" s="38" t="s">
        <v>509</v>
      </c>
      <c r="E247" s="40"/>
    </row>
    <row r="248" spans="1:5" ht="14.4" x14ac:dyDescent="0.25">
      <c r="A248" t="str">
        <f>'Training Feedback'!A248</f>
        <v>FB0247</v>
      </c>
      <c r="B248" t="str">
        <f>'Training Feedback'!J248</f>
        <v>Too much theory, not enough practice.</v>
      </c>
      <c r="C248" s="38" t="s">
        <v>510</v>
      </c>
      <c r="E248" s="40"/>
    </row>
    <row r="249" spans="1:5" ht="14.4" x14ac:dyDescent="0.25">
      <c r="A249" t="str">
        <f>'Training Feedback'!A249</f>
        <v>FB0248</v>
      </c>
      <c r="B249" t="str">
        <f>'Training Feedback'!J249</f>
        <v>The trainer used real examples from our work.</v>
      </c>
      <c r="C249" s="38" t="s">
        <v>453</v>
      </c>
      <c r="E249" s="40"/>
    </row>
    <row r="250" spans="1:5" ht="28.8" x14ac:dyDescent="0.25">
      <c r="A250" t="str">
        <f>'Training Feedback'!A250</f>
        <v>FB0249</v>
      </c>
      <c r="B250" t="str">
        <f>'Training Feedback'!J250</f>
        <v>I can apply the Excel shortcuts from tomorrow. Pace was just right.</v>
      </c>
      <c r="C250" s="38" t="s">
        <v>508</v>
      </c>
      <c r="E250" s="40"/>
    </row>
    <row r="251" spans="1:5" ht="28.8" x14ac:dyDescent="0.25">
      <c r="A251" t="str">
        <f>'Training Feedback'!A251</f>
        <v>FB0250</v>
      </c>
      <c r="B251" t="str">
        <f>'Training Feedback'!J251</f>
        <v>Hands-on exercises were very useful. Pace was just right.</v>
      </c>
      <c r="C251" s="38" t="s">
        <v>508</v>
      </c>
      <c r="E251" s="40"/>
    </row>
    <row r="252" spans="1:5" ht="43.2" x14ac:dyDescent="0.25">
      <c r="A252" t="str">
        <f>'Training Feedback'!A252</f>
        <v>FB0251</v>
      </c>
      <c r="B252" t="str">
        <f>'Training Feedback'!J252</f>
        <v>Room was noisy and the projector kept failing. Content was too basic for experienced staff.</v>
      </c>
      <c r="C252" s="38" t="s">
        <v>512</v>
      </c>
      <c r="E252" s="40"/>
    </row>
    <row r="253" spans="1:5" ht="28.8" x14ac:dyDescent="0.25">
      <c r="A253" t="str">
        <f>'Training Feedback'!A253</f>
        <v>FB0252</v>
      </c>
      <c r="B253" t="str">
        <f>'Training Feedback'!J253</f>
        <v>Content was too basic for experienced staff. Session ran over time and felt rushed at the end.</v>
      </c>
      <c r="C253" s="38" t="s">
        <v>515</v>
      </c>
      <c r="E253" s="40"/>
    </row>
    <row r="254" spans="1:5" ht="14.4" x14ac:dyDescent="0.25">
      <c r="A254" t="str">
        <f>'Training Feedback'!A254</f>
        <v>FB0253</v>
      </c>
      <c r="B254" t="str">
        <f>'Training Feedback'!J254</f>
        <v>The trainer used real examples from our work.</v>
      </c>
      <c r="C254" s="38" t="s">
        <v>453</v>
      </c>
      <c r="E254" s="40"/>
    </row>
    <row r="255" spans="1:5" ht="14.4" x14ac:dyDescent="0.25">
      <c r="A255" t="str">
        <f>'Training Feedback'!A255</f>
        <v>FB0254</v>
      </c>
      <c r="B255" t="str">
        <f>'Training Feedback'!J255</f>
        <v>Session ran over time and felt rushed at the end.</v>
      </c>
      <c r="C255" s="38" t="s">
        <v>511</v>
      </c>
      <c r="E255" s="40"/>
    </row>
    <row r="256" spans="1:5" ht="14.4" x14ac:dyDescent="0.25">
      <c r="A256" t="str">
        <f>'Training Feedback'!A256</f>
        <v>FB0255</v>
      </c>
      <c r="B256" t="str">
        <f>'Training Feedback'!J256</f>
        <v>Hands-on exercises were very useful.</v>
      </c>
      <c r="C256" s="38" t="s">
        <v>510</v>
      </c>
      <c r="E256" s="40"/>
    </row>
    <row r="257" spans="1:5" ht="28.8" x14ac:dyDescent="0.25">
      <c r="A257" t="str">
        <f>'Training Feedback'!A257</f>
        <v>FB0256</v>
      </c>
      <c r="B257" t="str">
        <f>'Training Feedback'!J257</f>
        <v>The trainer used real examples from our work. Pace was just right.</v>
      </c>
      <c r="C257" s="38" t="s">
        <v>509</v>
      </c>
      <c r="E257" s="40"/>
    </row>
    <row r="258" spans="1:5" ht="14.4" x14ac:dyDescent="0.25">
      <c r="A258" t="str">
        <f>'Training Feedback'!A258</f>
        <v>FB0257</v>
      </c>
      <c r="B258" t="str">
        <f>'Training Feedback'!J258</f>
        <v>Session ran over time and felt rushed at the end.</v>
      </c>
      <c r="C258" s="38" t="s">
        <v>511</v>
      </c>
      <c r="E258" s="40"/>
    </row>
    <row r="259" spans="1:5" ht="28.8" x14ac:dyDescent="0.25">
      <c r="A259" t="str">
        <f>'Training Feedback'!A259</f>
        <v>FB0258</v>
      </c>
      <c r="B259" t="str">
        <f>'Training Feedback'!J259</f>
        <v>Too much theory, not enough practice. Session ran over time and felt rushed at the end.</v>
      </c>
      <c r="C259" s="38" t="s">
        <v>508</v>
      </c>
      <c r="E259" s="40"/>
    </row>
    <row r="260" spans="1:5" ht="14.4" x14ac:dyDescent="0.25">
      <c r="A260" t="str">
        <f>'Training Feedback'!A260</f>
        <v>FB0259</v>
      </c>
      <c r="B260" t="str">
        <f>'Training Feedback'!J260</f>
        <v>Content was too basic for experienced staff.</v>
      </c>
      <c r="C260" s="38" t="s">
        <v>452</v>
      </c>
      <c r="E260" s="40"/>
    </row>
    <row r="261" spans="1:5" ht="14.4" x14ac:dyDescent="0.25">
      <c r="A261" t="str">
        <f>'Training Feedback'!A261</f>
        <v>FB0260</v>
      </c>
      <c r="B261" t="str">
        <f>'Training Feedback'!J261</f>
        <v>Content was too basic for experienced staff.</v>
      </c>
      <c r="C261" s="38" t="s">
        <v>452</v>
      </c>
      <c r="E261" s="40"/>
    </row>
    <row r="262" spans="1:5" ht="28.8" x14ac:dyDescent="0.25">
      <c r="A262" t="str">
        <f>'Training Feedback'!A262</f>
        <v>FB0261</v>
      </c>
      <c r="B262" t="str">
        <f>'Training Feedback'!J262</f>
        <v>Too much theory, not enough practice. Session ran over time and felt rushed at the end.</v>
      </c>
      <c r="C262" s="38" t="s">
        <v>508</v>
      </c>
      <c r="E262" s="40"/>
    </row>
    <row r="263" spans="1:5" ht="14.4" x14ac:dyDescent="0.25">
      <c r="A263" t="str">
        <f>'Training Feedback'!A263</f>
        <v>FB0262</v>
      </c>
      <c r="B263" t="str">
        <f>'Training Feedback'!J263</f>
        <v>Content was too basic for experienced staff.</v>
      </c>
      <c r="C263" s="38" t="s">
        <v>452</v>
      </c>
      <c r="E263" s="40"/>
    </row>
    <row r="264" spans="1:5" ht="43.2" x14ac:dyDescent="0.25">
      <c r="A264" t="str">
        <f>'Training Feedback'!A264</f>
        <v>FB0263</v>
      </c>
      <c r="B264" t="str">
        <f>'Training Feedback'!J264</f>
        <v>Content was too basic for experienced staff. Room was noisy and the projector kept failing.</v>
      </c>
      <c r="C264" s="38" t="s">
        <v>512</v>
      </c>
      <c r="E264" s="40"/>
    </row>
    <row r="265" spans="1:5" ht="43.2" x14ac:dyDescent="0.25">
      <c r="A265" t="str">
        <f>'Training Feedback'!A265</f>
        <v>FB0264</v>
      </c>
      <c r="B265" t="str">
        <f>'Training Feedback'!J265</f>
        <v>Room was noisy and the projector kept failing. Too much theory, not enough practice.</v>
      </c>
      <c r="C265" s="38" t="s">
        <v>516</v>
      </c>
      <c r="E265" s="40"/>
    </row>
    <row r="266" spans="1:5" ht="14.4" x14ac:dyDescent="0.25">
      <c r="A266" t="str">
        <f>'Training Feedback'!A266</f>
        <v>FB0265</v>
      </c>
      <c r="B266" t="str">
        <f>'Training Feedback'!J266</f>
        <v>Pace was just right.</v>
      </c>
      <c r="C266" s="38" t="s">
        <v>511</v>
      </c>
      <c r="E266" s="40"/>
    </row>
    <row r="267" spans="1:5" ht="28.8" x14ac:dyDescent="0.25">
      <c r="A267" t="str">
        <f>'Training Feedback'!A267</f>
        <v>FB0266</v>
      </c>
      <c r="B267" t="str">
        <f>'Training Feedback'!J267</f>
        <v>The trainer used real examples from our work. Hands-on exercises were very useful.</v>
      </c>
      <c r="C267" s="38" t="s">
        <v>513</v>
      </c>
      <c r="E267" s="40"/>
    </row>
    <row r="268" spans="1:5" ht="14.4" x14ac:dyDescent="0.25">
      <c r="A268" t="str">
        <f>'Training Feedback'!A268</f>
        <v>FB0267</v>
      </c>
      <c r="B268" t="str">
        <f>'Training Feedback'!J268</f>
        <v>The trainer used real examples from our work.</v>
      </c>
      <c r="C268" s="38" t="s">
        <v>453</v>
      </c>
      <c r="E268" s="40"/>
    </row>
    <row r="269" spans="1:5" ht="28.8" x14ac:dyDescent="0.25">
      <c r="A269" t="str">
        <f>'Training Feedback'!A269</f>
        <v>FB0268</v>
      </c>
      <c r="B269" t="str">
        <f>'Training Feedback'!J269</f>
        <v>Session ran over time and felt rushed at the end. Too much theory, not enough practice.</v>
      </c>
      <c r="C269" s="38" t="s">
        <v>508</v>
      </c>
      <c r="E269" s="40"/>
    </row>
    <row r="270" spans="1:5" ht="43.2" x14ac:dyDescent="0.25">
      <c r="A270" t="str">
        <f>'Training Feedback'!A270</f>
        <v>FB0269</v>
      </c>
      <c r="B270" t="str">
        <f>'Training Feedback'!J270</f>
        <v>Too much theory, not enough practice. Room was noisy and the projector kept failing.</v>
      </c>
      <c r="C270" s="38" t="s">
        <v>516</v>
      </c>
      <c r="E270" s="40"/>
    </row>
    <row r="271" spans="1:5" ht="28.8" x14ac:dyDescent="0.25">
      <c r="A271" t="str">
        <f>'Training Feedback'!A271</f>
        <v>FB0270</v>
      </c>
      <c r="B271" t="str">
        <f>'Training Feedback'!J271</f>
        <v>Content was too basic for experienced staff. Session ran over time and felt rushed at the end.</v>
      </c>
      <c r="C271" s="38" t="s">
        <v>515</v>
      </c>
      <c r="E271" s="40"/>
    </row>
    <row r="272" spans="1:5" ht="14.4" x14ac:dyDescent="0.25">
      <c r="A272" t="str">
        <f>'Training Feedback'!A272</f>
        <v>FB0271</v>
      </c>
      <c r="B272" t="str">
        <f>'Training Feedback'!J272</f>
        <v>The trainer used real examples from our work.</v>
      </c>
      <c r="C272" s="38" t="s">
        <v>453</v>
      </c>
      <c r="E272" s="40"/>
    </row>
    <row r="273" spans="1:5" ht="14.4" x14ac:dyDescent="0.25">
      <c r="A273" t="str">
        <f>'Training Feedback'!A273</f>
        <v>FB0272</v>
      </c>
      <c r="B273" t="str">
        <f>'Training Feedback'!J273</f>
        <v>Hands-on exercises were very useful.</v>
      </c>
      <c r="C273" s="38" t="s">
        <v>510</v>
      </c>
      <c r="E273" s="40"/>
    </row>
    <row r="274" spans="1:5" ht="14.4" x14ac:dyDescent="0.25">
      <c r="A274" t="str">
        <f>'Training Feedback'!A274</f>
        <v>FB0273</v>
      </c>
      <c r="B274" t="str">
        <f>'Training Feedback'!J274</f>
        <v>Hands-on exercises were very useful.</v>
      </c>
      <c r="C274" s="38" t="s">
        <v>510</v>
      </c>
      <c r="E274" s="40"/>
    </row>
    <row r="275" spans="1:5" ht="14.4" x14ac:dyDescent="0.25">
      <c r="A275" t="str">
        <f>'Training Feedback'!A275</f>
        <v>FB0274</v>
      </c>
      <c r="B275" t="str">
        <f>'Training Feedback'!J275</f>
        <v>Hands-on exercises were very useful. I can apply the Excel shortcuts from tomorrow.</v>
      </c>
      <c r="C275" s="38" t="s">
        <v>510</v>
      </c>
      <c r="E275" s="40"/>
    </row>
    <row r="276" spans="1:5" ht="28.8" x14ac:dyDescent="0.25">
      <c r="A276" t="str">
        <f>'Training Feedback'!A276</f>
        <v>FB0275</v>
      </c>
      <c r="B276" t="str">
        <f>'Training Feedback'!J276</f>
        <v>I can apply the Excel shortcuts from tomorrow. The trainer used real examples from our work.</v>
      </c>
      <c r="C276" s="38" t="s">
        <v>513</v>
      </c>
      <c r="E276" s="40"/>
    </row>
    <row r="277" spans="1:5" ht="14.4" x14ac:dyDescent="0.25">
      <c r="A277" t="str">
        <f>'Training Feedback'!A277</f>
        <v>FB0276</v>
      </c>
      <c r="B277" t="str">
        <f>'Training Feedback'!J277</f>
        <v>Hands-on exercises were very useful.</v>
      </c>
      <c r="C277" s="38" t="s">
        <v>510</v>
      </c>
      <c r="E277" s="40"/>
    </row>
    <row r="278" spans="1:5" ht="28.8" x14ac:dyDescent="0.25">
      <c r="A278" t="str">
        <f>'Training Feedback'!A278</f>
        <v>FB0277</v>
      </c>
      <c r="B278" t="str">
        <f>'Training Feedback'!J278</f>
        <v>Too much theory, not enough practice. Content was too basic for experienced staff.</v>
      </c>
      <c r="C278" s="38" t="s">
        <v>514</v>
      </c>
      <c r="E278" s="40"/>
    </row>
    <row r="279" spans="1:5" ht="14.4" x14ac:dyDescent="0.25">
      <c r="A279" t="str">
        <f>'Training Feedback'!A279</f>
        <v>FB0278</v>
      </c>
      <c r="B279" t="str">
        <f>'Training Feedback'!J279</f>
        <v>Content was too basic for experienced staff.</v>
      </c>
      <c r="C279" s="38" t="s">
        <v>452</v>
      </c>
      <c r="E279" s="40"/>
    </row>
    <row r="280" spans="1:5" ht="28.8" x14ac:dyDescent="0.25">
      <c r="A280" t="str">
        <f>'Training Feedback'!A280</f>
        <v>FB0279</v>
      </c>
      <c r="B280" t="str">
        <f>'Training Feedback'!J280</f>
        <v>Content was too basic for experienced staff. Session ran over time and felt rushed at the end.</v>
      </c>
      <c r="C280" s="38" t="s">
        <v>515</v>
      </c>
      <c r="E280" s="40"/>
    </row>
    <row r="281" spans="1:5" ht="28.8" x14ac:dyDescent="0.25">
      <c r="A281" t="str">
        <f>'Training Feedback'!A281</f>
        <v>FB0280</v>
      </c>
      <c r="B281" t="str">
        <f>'Training Feedback'!J281</f>
        <v>Session ran over time and felt rushed at the end. Too much theory, not enough practice.</v>
      </c>
      <c r="C281" s="38" t="s">
        <v>508</v>
      </c>
      <c r="E281" s="40"/>
    </row>
    <row r="282" spans="1:5" ht="14.4" x14ac:dyDescent="0.25">
      <c r="A282" t="str">
        <f>'Training Feedback'!A282</f>
        <v>FB0281</v>
      </c>
      <c r="B282" t="str">
        <f>'Training Feedback'!J282</f>
        <v>Content was too basic for experienced staff.</v>
      </c>
      <c r="C282" s="38" t="s">
        <v>452</v>
      </c>
      <c r="E282" s="40"/>
    </row>
    <row r="283" spans="1:5" ht="14.4" x14ac:dyDescent="0.25">
      <c r="A283" t="str">
        <f>'Training Feedback'!A283</f>
        <v>FB0282</v>
      </c>
      <c r="B283" t="str">
        <f>'Training Feedback'!J283</f>
        <v>Hands-on exercises were very useful. I can apply the Excel shortcuts from tomorrow.</v>
      </c>
      <c r="C283" s="38" t="s">
        <v>510</v>
      </c>
      <c r="E283" s="40"/>
    </row>
    <row r="284" spans="1:5" ht="14.4" x14ac:dyDescent="0.25">
      <c r="A284" t="str">
        <f>'Training Feedback'!A284</f>
        <v>FB0283</v>
      </c>
      <c r="B284" t="str">
        <f>'Training Feedback'!J284</f>
        <v>Content was too basic for experienced staff.</v>
      </c>
      <c r="C284" s="38" t="s">
        <v>452</v>
      </c>
      <c r="E284" s="40"/>
    </row>
    <row r="285" spans="1:5" ht="28.8" x14ac:dyDescent="0.25">
      <c r="A285" t="str">
        <f>'Training Feedback'!A285</f>
        <v>FB0284</v>
      </c>
      <c r="B285" t="str">
        <f>'Training Feedback'!J285</f>
        <v>The trainer used real examples from our work. I can apply the Excel shortcuts from tomorrow.</v>
      </c>
      <c r="C285" s="38" t="s">
        <v>513</v>
      </c>
      <c r="E285" s="40"/>
    </row>
    <row r="286" spans="1:5" ht="14.4" x14ac:dyDescent="0.25">
      <c r="A286" t="str">
        <f>'Training Feedback'!A286</f>
        <v>FB0285</v>
      </c>
      <c r="B286" t="str">
        <f>'Training Feedback'!J286</f>
        <v>I can apply the Excel shortcuts from tomorrow. Hands-on exercises were very useful.</v>
      </c>
      <c r="C286" s="38" t="s">
        <v>510</v>
      </c>
      <c r="E286" s="40"/>
    </row>
    <row r="287" spans="1:5" ht="28.8" x14ac:dyDescent="0.25">
      <c r="A287" t="str">
        <f>'Training Feedback'!A287</f>
        <v>FB0286</v>
      </c>
      <c r="B287" t="str">
        <f>'Training Feedback'!J287</f>
        <v>I can apply the Excel shortcuts from tomorrow. The trainer used real examples from our work.</v>
      </c>
      <c r="C287" s="38" t="s">
        <v>513</v>
      </c>
      <c r="E287" s="40"/>
    </row>
    <row r="288" spans="1:5" ht="43.2" x14ac:dyDescent="0.25">
      <c r="A288" t="str">
        <f>'Training Feedback'!A288</f>
        <v>FB0287</v>
      </c>
      <c r="B288" t="str">
        <f>'Training Feedback'!J288</f>
        <v>Content was too basic for experienced staff. Room was noisy and the projector kept failing.</v>
      </c>
      <c r="C288" s="38" t="s">
        <v>512</v>
      </c>
      <c r="E288" s="40"/>
    </row>
    <row r="289" spans="1:5" ht="14.4" x14ac:dyDescent="0.25">
      <c r="A289" t="str">
        <f>'Training Feedback'!A289</f>
        <v>FB0288</v>
      </c>
      <c r="B289" t="str">
        <f>'Training Feedback'!J289</f>
        <v>Pace was just right.</v>
      </c>
      <c r="C289" s="38" t="s">
        <v>511</v>
      </c>
      <c r="E289" s="40"/>
    </row>
    <row r="290" spans="1:5" ht="28.8" x14ac:dyDescent="0.25">
      <c r="A290" t="str">
        <f>'Training Feedback'!A290</f>
        <v>FB0289</v>
      </c>
      <c r="B290" t="str">
        <f>'Training Feedback'!J290</f>
        <v>Pace was just right. The trainer used real examples from our work.</v>
      </c>
      <c r="C290" s="38" t="s">
        <v>509</v>
      </c>
      <c r="E290" s="40"/>
    </row>
    <row r="291" spans="1:5" ht="43.2" x14ac:dyDescent="0.25">
      <c r="A291" t="str">
        <f>'Training Feedback'!A291</f>
        <v>FB0290</v>
      </c>
      <c r="B291" t="str">
        <f>'Training Feedback'!J291</f>
        <v>Too much theory, not enough practice. Room was noisy and the projector kept failing.</v>
      </c>
      <c r="C291" s="38" t="s">
        <v>516</v>
      </c>
      <c r="E291" s="40"/>
    </row>
    <row r="292" spans="1:5" ht="14.4" x14ac:dyDescent="0.25">
      <c r="A292" t="str">
        <f>'Training Feedback'!A292</f>
        <v>FB0291</v>
      </c>
      <c r="B292" t="str">
        <f>'Training Feedback'!J292</f>
        <v>Too much theory, not enough practice.</v>
      </c>
      <c r="C292" s="38" t="s">
        <v>510</v>
      </c>
      <c r="E292" s="40"/>
    </row>
    <row r="293" spans="1:5" ht="28.8" x14ac:dyDescent="0.25">
      <c r="A293" t="str">
        <f>'Training Feedback'!A293</f>
        <v>FB0292</v>
      </c>
      <c r="B293" t="str">
        <f>'Training Feedback'!J293</f>
        <v>I can apply the Excel shortcuts from tomorrow. The trainer used real examples from our work.</v>
      </c>
      <c r="C293" s="38" t="s">
        <v>513</v>
      </c>
      <c r="E293" s="40"/>
    </row>
    <row r="294" spans="1:5" ht="28.8" x14ac:dyDescent="0.25">
      <c r="A294" t="str">
        <f>'Training Feedback'!A294</f>
        <v>FB0293</v>
      </c>
      <c r="B294" t="str">
        <f>'Training Feedback'!J294</f>
        <v>Room was noisy and the projector kept failing.</v>
      </c>
      <c r="C294" s="38" t="s">
        <v>466</v>
      </c>
      <c r="E294" s="40"/>
    </row>
    <row r="295" spans="1:5" ht="14.4" x14ac:dyDescent="0.25">
      <c r="A295" t="str">
        <f>'Training Feedback'!A295</f>
        <v>FB0294</v>
      </c>
      <c r="B295" t="str">
        <f>'Training Feedback'!J295</f>
        <v>I can apply the Excel shortcuts from tomorrow.</v>
      </c>
      <c r="C295" s="38" t="s">
        <v>510</v>
      </c>
      <c r="E295" s="40"/>
    </row>
    <row r="296" spans="1:5" ht="14.4" x14ac:dyDescent="0.25">
      <c r="A296" t="str">
        <f>'Training Feedback'!A296</f>
        <v>FB0295</v>
      </c>
      <c r="B296" t="str">
        <f>'Training Feedback'!J296</f>
        <v>Hands-on exercises were very useful.</v>
      </c>
      <c r="C296" s="38" t="s">
        <v>510</v>
      </c>
      <c r="E296" s="40"/>
    </row>
    <row r="297" spans="1:5" ht="14.4" x14ac:dyDescent="0.25">
      <c r="A297" t="str">
        <f>'Training Feedback'!A297</f>
        <v>FB0296</v>
      </c>
      <c r="B297" t="str">
        <f>'Training Feedback'!J297</f>
        <v>Session ran over time and felt rushed at the end.</v>
      </c>
      <c r="C297" s="38" t="s">
        <v>511</v>
      </c>
      <c r="E297" s="40"/>
    </row>
    <row r="298" spans="1:5" ht="14.4" x14ac:dyDescent="0.25">
      <c r="A298" t="str">
        <f>'Training Feedback'!A298</f>
        <v>FB0297</v>
      </c>
      <c r="B298" t="str">
        <f>'Training Feedback'!J298</f>
        <v>The trainer used real examples from our work.</v>
      </c>
      <c r="C298" s="38" t="s">
        <v>453</v>
      </c>
      <c r="E298" s="40"/>
    </row>
    <row r="299" spans="1:5" ht="14.4" x14ac:dyDescent="0.25">
      <c r="A299" t="str">
        <f>'Training Feedback'!A299</f>
        <v>FB0298</v>
      </c>
      <c r="B299" t="str">
        <f>'Training Feedback'!J299</f>
        <v>Too much theory, not enough practice.</v>
      </c>
      <c r="C299" s="38" t="s">
        <v>510</v>
      </c>
      <c r="E299" s="40"/>
    </row>
    <row r="300" spans="1:5" ht="28.8" x14ac:dyDescent="0.25">
      <c r="A300" t="str">
        <f>'Training Feedback'!A300</f>
        <v>FB0299</v>
      </c>
      <c r="B300" t="str">
        <f>'Training Feedback'!J300</f>
        <v>Hands-on exercises were very useful. Pace was just right.</v>
      </c>
      <c r="C300" s="38" t="s">
        <v>508</v>
      </c>
      <c r="E300" s="40"/>
    </row>
    <row r="301" spans="1:5" ht="14.4" x14ac:dyDescent="0.25">
      <c r="A301" t="str">
        <f>'Training Feedback'!A301</f>
        <v>FB0300</v>
      </c>
      <c r="B301" t="str">
        <f>'Training Feedback'!J301</f>
        <v>Content was too basic for experienced staff.</v>
      </c>
      <c r="C301" s="38" t="s">
        <v>452</v>
      </c>
      <c r="E301" s="40"/>
    </row>
    <row r="302" spans="1:5" ht="14.4" x14ac:dyDescent="0.25">
      <c r="C302" s="40"/>
      <c r="E302" s="40"/>
    </row>
    <row r="306" spans="1:2" x14ac:dyDescent="0.25">
      <c r="A306" s="19" t="s">
        <v>533</v>
      </c>
      <c r="B306" s="19" t="s">
        <v>534</v>
      </c>
    </row>
    <row r="307" spans="1:2" x14ac:dyDescent="0.25">
      <c r="A307" s="17" t="s">
        <v>535</v>
      </c>
      <c r="B307" s="21">
        <f>COUNTA(A2:A301)</f>
        <v>300</v>
      </c>
    </row>
    <row r="308" spans="1:2" x14ac:dyDescent="0.25">
      <c r="A308" s="17" t="s">
        <v>536</v>
      </c>
      <c r="B308" s="22">
        <f>COUNTIF(G2:G301,"Yes")</f>
        <v>30</v>
      </c>
    </row>
    <row r="309" spans="1:2" x14ac:dyDescent="0.25">
      <c r="A309" s="17" t="s">
        <v>537</v>
      </c>
      <c r="B309" s="22">
        <f>COUNTIFS(G2:G301,"Yes",E2:E301,"Match")</f>
        <v>30</v>
      </c>
    </row>
    <row r="310" spans="1:2" x14ac:dyDescent="0.25">
      <c r="A310" s="17" t="s">
        <v>538</v>
      </c>
      <c r="B310" s="41">
        <f>IFERROR(COUNTIFS(G2:G301,"Yes",E2:E301,"Match")/COUNTIFS(G2:G301,"Yes",D2:D301,"&lt;&gt;",E2:E301,"&lt;&gt;Pending manual classification"),0)</f>
        <v>1</v>
      </c>
    </row>
    <row r="312" spans="1:2" x14ac:dyDescent="0.25">
      <c r="A312" s="16"/>
      <c r="B312" s="16"/>
    </row>
  </sheetData>
  <mergeCells count="1">
    <mergeCell ref="A312:B3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1"/>
  <sheetViews>
    <sheetView topLeftCell="D1" zoomScaleNormal="100" workbookViewId="0">
      <pane ySplit="1" topLeftCell="A2" activePane="bottomLeft" state="frozen"/>
      <selection pane="bottomLeft" sqref="A1:A1048576"/>
    </sheetView>
  </sheetViews>
  <sheetFormatPr defaultColWidth="8.6640625" defaultRowHeight="13.2" x14ac:dyDescent="0.25"/>
  <cols>
    <col min="1" max="1" width="13" customWidth="1"/>
    <col min="2" max="2" width="19" customWidth="1"/>
    <col min="3" max="3" width="22" customWidth="1"/>
    <col min="4" max="4" width="14" customWidth="1"/>
    <col min="5" max="5" width="10" customWidth="1"/>
    <col min="6" max="6" width="24" customWidth="1"/>
    <col min="7" max="7" width="28" customWidth="1"/>
    <col min="8" max="8" width="11" customWidth="1"/>
    <col min="9" max="9" width="22" customWidth="1"/>
    <col min="10" max="10" width="61" customWidth="1"/>
  </cols>
  <sheetData>
    <row r="1" spans="1:10" x14ac:dyDescent="0.25">
      <c r="A1" s="6" t="s">
        <v>62</v>
      </c>
      <c r="B1" s="6" t="s">
        <v>63</v>
      </c>
      <c r="C1" s="6" t="s">
        <v>64</v>
      </c>
      <c r="D1" s="6" t="s">
        <v>65</v>
      </c>
      <c r="E1" s="6" t="s">
        <v>66</v>
      </c>
      <c r="F1" s="6" t="s">
        <v>67</v>
      </c>
      <c r="G1" s="6" t="s">
        <v>68</v>
      </c>
      <c r="H1" s="6" t="s">
        <v>69</v>
      </c>
      <c r="I1" s="6" t="s">
        <v>70</v>
      </c>
      <c r="J1" s="6" t="s">
        <v>71</v>
      </c>
    </row>
    <row r="2" spans="1:10" ht="14.4" x14ac:dyDescent="0.3">
      <c r="A2" t="s">
        <v>72</v>
      </c>
      <c r="B2" t="s">
        <v>73</v>
      </c>
      <c r="C2" t="s">
        <v>74</v>
      </c>
      <c r="D2" s="9">
        <v>45814</v>
      </c>
      <c r="E2" t="s">
        <v>75</v>
      </c>
      <c r="F2">
        <v>4</v>
      </c>
      <c r="G2">
        <v>4</v>
      </c>
      <c r="H2">
        <v>3</v>
      </c>
      <c r="I2">
        <v>5</v>
      </c>
      <c r="J2" s="10" t="s">
        <v>76</v>
      </c>
    </row>
    <row r="3" spans="1:10" ht="14.4" x14ac:dyDescent="0.3">
      <c r="A3" t="s">
        <v>77</v>
      </c>
      <c r="B3" t="s">
        <v>78</v>
      </c>
      <c r="C3" t="s">
        <v>79</v>
      </c>
      <c r="D3" s="9">
        <v>45967</v>
      </c>
      <c r="E3" t="s">
        <v>75</v>
      </c>
      <c r="F3">
        <v>5</v>
      </c>
      <c r="G3">
        <v>5</v>
      </c>
      <c r="H3">
        <v>5</v>
      </c>
      <c r="I3">
        <v>5</v>
      </c>
      <c r="J3" s="10" t="s">
        <v>80</v>
      </c>
    </row>
    <row r="4" spans="1:10" ht="14.4" x14ac:dyDescent="0.3">
      <c r="A4" t="s">
        <v>81</v>
      </c>
      <c r="B4" t="s">
        <v>82</v>
      </c>
      <c r="C4" t="s">
        <v>79</v>
      </c>
      <c r="D4" s="9">
        <v>45809</v>
      </c>
      <c r="E4" t="s">
        <v>75</v>
      </c>
      <c r="F4">
        <v>4</v>
      </c>
      <c r="G4">
        <v>2</v>
      </c>
      <c r="H4">
        <v>2</v>
      </c>
      <c r="I4">
        <v>3</v>
      </c>
      <c r="J4" s="10" t="s">
        <v>83</v>
      </c>
    </row>
    <row r="5" spans="1:10" ht="14.4" x14ac:dyDescent="0.3">
      <c r="A5" t="s">
        <v>84</v>
      </c>
      <c r="B5" t="s">
        <v>85</v>
      </c>
      <c r="C5" t="s">
        <v>74</v>
      </c>
      <c r="D5" s="9">
        <v>45993</v>
      </c>
      <c r="E5" t="s">
        <v>86</v>
      </c>
      <c r="F5">
        <v>3</v>
      </c>
      <c r="G5">
        <v>4</v>
      </c>
      <c r="H5">
        <v>4</v>
      </c>
      <c r="I5">
        <v>4</v>
      </c>
      <c r="J5" s="10" t="s">
        <v>87</v>
      </c>
    </row>
    <row r="6" spans="1:10" ht="14.4" x14ac:dyDescent="0.3">
      <c r="A6" t="s">
        <v>88</v>
      </c>
      <c r="B6" t="s">
        <v>89</v>
      </c>
      <c r="C6" t="s">
        <v>79</v>
      </c>
      <c r="D6" s="9">
        <v>45914</v>
      </c>
      <c r="E6" t="s">
        <v>86</v>
      </c>
      <c r="F6">
        <v>4</v>
      </c>
      <c r="G6">
        <v>4</v>
      </c>
      <c r="H6">
        <v>5</v>
      </c>
      <c r="I6">
        <v>4</v>
      </c>
      <c r="J6" s="10" t="s">
        <v>90</v>
      </c>
    </row>
    <row r="7" spans="1:10" ht="28.8" x14ac:dyDescent="0.3">
      <c r="A7" t="s">
        <v>91</v>
      </c>
      <c r="B7" t="s">
        <v>82</v>
      </c>
      <c r="C7" t="s">
        <v>74</v>
      </c>
      <c r="D7" s="9">
        <v>45990</v>
      </c>
      <c r="E7" t="s">
        <v>86</v>
      </c>
      <c r="F7">
        <v>3</v>
      </c>
      <c r="G7">
        <v>2</v>
      </c>
      <c r="H7">
        <v>2</v>
      </c>
      <c r="I7">
        <v>3</v>
      </c>
      <c r="J7" s="10" t="s">
        <v>92</v>
      </c>
    </row>
    <row r="8" spans="1:10" ht="14.4" x14ac:dyDescent="0.3">
      <c r="A8" t="s">
        <v>93</v>
      </c>
      <c r="B8" t="s">
        <v>73</v>
      </c>
      <c r="C8" t="s">
        <v>74</v>
      </c>
      <c r="D8" s="9">
        <v>45898</v>
      </c>
      <c r="E8" t="s">
        <v>75</v>
      </c>
      <c r="F8">
        <v>5</v>
      </c>
      <c r="G8">
        <v>4</v>
      </c>
      <c r="H8">
        <v>4</v>
      </c>
      <c r="I8">
        <v>4</v>
      </c>
      <c r="J8" s="10" t="s">
        <v>94</v>
      </c>
    </row>
    <row r="9" spans="1:10" ht="28.8" x14ac:dyDescent="0.3">
      <c r="A9" t="s">
        <v>95</v>
      </c>
      <c r="B9" t="s">
        <v>85</v>
      </c>
      <c r="C9" t="s">
        <v>96</v>
      </c>
      <c r="D9" s="9">
        <v>46029</v>
      </c>
      <c r="E9" t="s">
        <v>75</v>
      </c>
      <c r="F9">
        <v>3</v>
      </c>
      <c r="G9">
        <v>4</v>
      </c>
      <c r="H9">
        <v>3</v>
      </c>
      <c r="I9">
        <v>2</v>
      </c>
      <c r="J9" s="10" t="s">
        <v>97</v>
      </c>
    </row>
    <row r="10" spans="1:10" ht="14.4" x14ac:dyDescent="0.3">
      <c r="A10" t="s">
        <v>98</v>
      </c>
      <c r="B10" t="s">
        <v>78</v>
      </c>
      <c r="C10" t="s">
        <v>79</v>
      </c>
      <c r="D10" s="9">
        <v>45894</v>
      </c>
      <c r="E10" t="s">
        <v>86</v>
      </c>
      <c r="F10">
        <v>5</v>
      </c>
      <c r="G10">
        <v>4</v>
      </c>
      <c r="H10">
        <v>5</v>
      </c>
      <c r="I10">
        <v>4</v>
      </c>
      <c r="J10" s="10" t="s">
        <v>99</v>
      </c>
    </row>
    <row r="11" spans="1:10" ht="14.4" x14ac:dyDescent="0.3">
      <c r="A11" t="s">
        <v>100</v>
      </c>
      <c r="B11" t="s">
        <v>73</v>
      </c>
      <c r="C11" t="s">
        <v>79</v>
      </c>
      <c r="D11" s="9">
        <v>45958</v>
      </c>
      <c r="E11" t="s">
        <v>86</v>
      </c>
      <c r="F11">
        <v>4</v>
      </c>
      <c r="G11">
        <v>1</v>
      </c>
      <c r="H11">
        <v>3</v>
      </c>
      <c r="I11">
        <v>3</v>
      </c>
      <c r="J11" s="10" t="s">
        <v>101</v>
      </c>
    </row>
    <row r="12" spans="1:10" ht="28.8" x14ac:dyDescent="0.3">
      <c r="A12" t="s">
        <v>102</v>
      </c>
      <c r="B12" t="s">
        <v>82</v>
      </c>
      <c r="C12" t="s">
        <v>79</v>
      </c>
      <c r="D12" s="9">
        <v>45839</v>
      </c>
      <c r="E12" t="s">
        <v>86</v>
      </c>
      <c r="F12">
        <v>5</v>
      </c>
      <c r="G12">
        <v>5</v>
      </c>
      <c r="H12">
        <v>4</v>
      </c>
      <c r="I12">
        <v>4</v>
      </c>
      <c r="J12" s="10" t="s">
        <v>103</v>
      </c>
    </row>
    <row r="13" spans="1:10" ht="14.4" x14ac:dyDescent="0.3">
      <c r="A13" t="s">
        <v>104</v>
      </c>
      <c r="B13" t="s">
        <v>89</v>
      </c>
      <c r="C13" t="s">
        <v>79</v>
      </c>
      <c r="D13" s="9">
        <v>45911</v>
      </c>
      <c r="E13" t="s">
        <v>86</v>
      </c>
      <c r="F13">
        <v>5</v>
      </c>
      <c r="G13">
        <v>3</v>
      </c>
      <c r="H13">
        <v>4</v>
      </c>
      <c r="I13">
        <v>5</v>
      </c>
      <c r="J13" s="10" t="s">
        <v>105</v>
      </c>
    </row>
    <row r="14" spans="1:10" ht="14.4" x14ac:dyDescent="0.3">
      <c r="A14" t="s">
        <v>106</v>
      </c>
      <c r="B14" t="s">
        <v>85</v>
      </c>
      <c r="C14" t="s">
        <v>74</v>
      </c>
      <c r="D14" s="9">
        <v>46006</v>
      </c>
      <c r="E14" t="s">
        <v>75</v>
      </c>
      <c r="F14">
        <v>4</v>
      </c>
      <c r="G14">
        <v>5</v>
      </c>
      <c r="H14">
        <v>3</v>
      </c>
      <c r="I14">
        <v>4</v>
      </c>
      <c r="J14" s="10" t="s">
        <v>107</v>
      </c>
    </row>
    <row r="15" spans="1:10" ht="28.8" x14ac:dyDescent="0.3">
      <c r="A15" t="s">
        <v>108</v>
      </c>
      <c r="B15" t="s">
        <v>85</v>
      </c>
      <c r="C15" t="s">
        <v>74</v>
      </c>
      <c r="D15" s="9">
        <v>46029</v>
      </c>
      <c r="E15" t="s">
        <v>75</v>
      </c>
      <c r="F15">
        <v>4</v>
      </c>
      <c r="G15">
        <v>4</v>
      </c>
      <c r="H15">
        <v>3</v>
      </c>
      <c r="I15">
        <v>4</v>
      </c>
      <c r="J15" s="10" t="s">
        <v>103</v>
      </c>
    </row>
    <row r="16" spans="1:10" ht="14.4" x14ac:dyDescent="0.3">
      <c r="A16" t="s">
        <v>109</v>
      </c>
      <c r="B16" t="s">
        <v>89</v>
      </c>
      <c r="C16" t="s">
        <v>96</v>
      </c>
      <c r="D16" s="9">
        <v>45825</v>
      </c>
      <c r="E16" t="s">
        <v>86</v>
      </c>
      <c r="F16">
        <v>3</v>
      </c>
      <c r="G16">
        <v>2</v>
      </c>
      <c r="H16">
        <v>3</v>
      </c>
      <c r="I16">
        <v>2</v>
      </c>
      <c r="J16" s="10" t="s">
        <v>110</v>
      </c>
    </row>
    <row r="17" spans="1:10" ht="14.4" x14ac:dyDescent="0.3">
      <c r="A17" t="s">
        <v>111</v>
      </c>
      <c r="B17" t="s">
        <v>112</v>
      </c>
      <c r="C17" t="s">
        <v>79</v>
      </c>
      <c r="D17" s="9">
        <v>45916</v>
      </c>
      <c r="E17" t="s">
        <v>75</v>
      </c>
      <c r="F17">
        <v>5</v>
      </c>
      <c r="G17">
        <v>4</v>
      </c>
      <c r="H17">
        <v>5</v>
      </c>
      <c r="I17">
        <v>3</v>
      </c>
      <c r="J17" s="10" t="s">
        <v>94</v>
      </c>
    </row>
    <row r="18" spans="1:10" ht="14.4" x14ac:dyDescent="0.3">
      <c r="A18" t="s">
        <v>113</v>
      </c>
      <c r="B18" t="s">
        <v>78</v>
      </c>
      <c r="C18" t="s">
        <v>79</v>
      </c>
      <c r="D18" s="9">
        <v>45829</v>
      </c>
      <c r="E18" t="s">
        <v>75</v>
      </c>
      <c r="F18">
        <v>4</v>
      </c>
      <c r="G18">
        <v>4</v>
      </c>
      <c r="H18">
        <v>4</v>
      </c>
      <c r="I18">
        <v>5</v>
      </c>
      <c r="J18" s="10" t="s">
        <v>76</v>
      </c>
    </row>
    <row r="19" spans="1:10" ht="28.8" x14ac:dyDescent="0.3">
      <c r="A19" t="s">
        <v>114</v>
      </c>
      <c r="B19" t="s">
        <v>78</v>
      </c>
      <c r="C19" t="s">
        <v>79</v>
      </c>
      <c r="D19" s="9">
        <v>45818</v>
      </c>
      <c r="E19" t="s">
        <v>86</v>
      </c>
      <c r="F19">
        <v>2</v>
      </c>
      <c r="G19">
        <v>3</v>
      </c>
      <c r="H19">
        <v>2</v>
      </c>
      <c r="I19">
        <v>2</v>
      </c>
      <c r="J19" s="10" t="s">
        <v>115</v>
      </c>
    </row>
    <row r="20" spans="1:10" ht="14.4" x14ac:dyDescent="0.3">
      <c r="A20" t="s">
        <v>116</v>
      </c>
      <c r="B20" t="s">
        <v>112</v>
      </c>
      <c r="C20" t="s">
        <v>74</v>
      </c>
      <c r="D20" s="9">
        <v>45918</v>
      </c>
      <c r="E20" t="s">
        <v>75</v>
      </c>
      <c r="F20">
        <v>4</v>
      </c>
      <c r="G20">
        <v>4</v>
      </c>
      <c r="H20">
        <v>5</v>
      </c>
      <c r="I20">
        <v>4</v>
      </c>
      <c r="J20" s="10" t="s">
        <v>90</v>
      </c>
    </row>
    <row r="21" spans="1:10" ht="28.8" x14ac:dyDescent="0.3">
      <c r="A21" t="s">
        <v>117</v>
      </c>
      <c r="B21" t="s">
        <v>78</v>
      </c>
      <c r="C21" t="s">
        <v>79</v>
      </c>
      <c r="D21" s="9">
        <v>45839</v>
      </c>
      <c r="E21" t="s">
        <v>86</v>
      </c>
      <c r="F21">
        <v>3</v>
      </c>
      <c r="G21">
        <v>3</v>
      </c>
      <c r="H21">
        <v>4</v>
      </c>
      <c r="I21">
        <v>5</v>
      </c>
      <c r="J21" s="10" t="s">
        <v>118</v>
      </c>
    </row>
    <row r="22" spans="1:10" ht="28.8" x14ac:dyDescent="0.3">
      <c r="A22" t="s">
        <v>119</v>
      </c>
      <c r="B22" t="s">
        <v>85</v>
      </c>
      <c r="C22" t="s">
        <v>96</v>
      </c>
      <c r="D22" s="9">
        <v>45860</v>
      </c>
      <c r="E22" t="s">
        <v>86</v>
      </c>
      <c r="F22">
        <v>4</v>
      </c>
      <c r="G22">
        <v>4</v>
      </c>
      <c r="H22">
        <v>4</v>
      </c>
      <c r="I22">
        <v>3</v>
      </c>
      <c r="J22" s="10" t="s">
        <v>120</v>
      </c>
    </row>
    <row r="23" spans="1:10" ht="14.4" x14ac:dyDescent="0.3">
      <c r="A23" t="s">
        <v>121</v>
      </c>
      <c r="B23" t="s">
        <v>112</v>
      </c>
      <c r="C23" t="s">
        <v>96</v>
      </c>
      <c r="D23" s="9">
        <v>45981</v>
      </c>
      <c r="E23" t="s">
        <v>75</v>
      </c>
      <c r="F23">
        <v>4</v>
      </c>
      <c r="G23">
        <v>5</v>
      </c>
      <c r="H23">
        <v>4</v>
      </c>
      <c r="I23">
        <v>4</v>
      </c>
      <c r="J23" s="10" t="s">
        <v>80</v>
      </c>
    </row>
    <row r="24" spans="1:10" ht="14.4" x14ac:dyDescent="0.3">
      <c r="A24" t="s">
        <v>122</v>
      </c>
      <c r="B24" t="s">
        <v>82</v>
      </c>
      <c r="C24" t="s">
        <v>79</v>
      </c>
      <c r="D24" s="9">
        <v>45855</v>
      </c>
      <c r="E24" t="s">
        <v>86</v>
      </c>
      <c r="F24">
        <v>5</v>
      </c>
      <c r="G24">
        <v>5</v>
      </c>
      <c r="H24">
        <v>4</v>
      </c>
      <c r="I24">
        <v>5</v>
      </c>
      <c r="J24" s="10" t="s">
        <v>90</v>
      </c>
    </row>
    <row r="25" spans="1:10" ht="14.4" x14ac:dyDescent="0.3">
      <c r="A25" t="s">
        <v>123</v>
      </c>
      <c r="B25" t="s">
        <v>73</v>
      </c>
      <c r="C25" t="s">
        <v>79</v>
      </c>
      <c r="D25" s="9">
        <v>46034</v>
      </c>
      <c r="E25" t="s">
        <v>75</v>
      </c>
      <c r="F25">
        <v>5</v>
      </c>
      <c r="G25">
        <v>5</v>
      </c>
      <c r="H25">
        <v>4</v>
      </c>
      <c r="I25">
        <v>5</v>
      </c>
      <c r="J25" s="10" t="s">
        <v>124</v>
      </c>
    </row>
    <row r="26" spans="1:10" ht="28.8" x14ac:dyDescent="0.3">
      <c r="A26" t="s">
        <v>125</v>
      </c>
      <c r="B26" t="s">
        <v>82</v>
      </c>
      <c r="C26" t="s">
        <v>74</v>
      </c>
      <c r="D26" s="9">
        <v>45946</v>
      </c>
      <c r="E26" t="s">
        <v>75</v>
      </c>
      <c r="F26">
        <v>5</v>
      </c>
      <c r="G26">
        <v>3</v>
      </c>
      <c r="H26">
        <v>5</v>
      </c>
      <c r="I26">
        <v>5</v>
      </c>
      <c r="J26" s="10" t="s">
        <v>126</v>
      </c>
    </row>
    <row r="27" spans="1:10" ht="14.4" x14ac:dyDescent="0.3">
      <c r="A27" t="s">
        <v>127</v>
      </c>
      <c r="B27" t="s">
        <v>85</v>
      </c>
      <c r="C27" t="s">
        <v>74</v>
      </c>
      <c r="D27" s="9">
        <v>45871</v>
      </c>
      <c r="E27" t="s">
        <v>86</v>
      </c>
      <c r="F27">
        <v>4</v>
      </c>
      <c r="G27">
        <v>5</v>
      </c>
      <c r="H27">
        <v>3</v>
      </c>
      <c r="I27">
        <v>4</v>
      </c>
      <c r="J27" s="10" t="s">
        <v>94</v>
      </c>
    </row>
    <row r="28" spans="1:10" ht="28.8" x14ac:dyDescent="0.3">
      <c r="A28" t="s">
        <v>128</v>
      </c>
      <c r="B28" t="s">
        <v>89</v>
      </c>
      <c r="C28" t="s">
        <v>96</v>
      </c>
      <c r="D28" s="9">
        <v>46024</v>
      </c>
      <c r="E28" t="s">
        <v>75</v>
      </c>
      <c r="F28">
        <v>3</v>
      </c>
      <c r="G28">
        <v>3</v>
      </c>
      <c r="H28">
        <v>4</v>
      </c>
      <c r="I28">
        <v>3</v>
      </c>
      <c r="J28" s="10" t="s">
        <v>129</v>
      </c>
    </row>
    <row r="29" spans="1:10" ht="14.4" x14ac:dyDescent="0.3">
      <c r="A29" t="s">
        <v>130</v>
      </c>
      <c r="B29" t="s">
        <v>89</v>
      </c>
      <c r="C29" t="s">
        <v>96</v>
      </c>
      <c r="D29" s="9">
        <v>45851</v>
      </c>
      <c r="E29" t="s">
        <v>86</v>
      </c>
      <c r="F29">
        <v>3</v>
      </c>
      <c r="G29">
        <v>4</v>
      </c>
      <c r="H29">
        <v>2</v>
      </c>
      <c r="I29">
        <v>3</v>
      </c>
      <c r="J29" s="10" t="s">
        <v>131</v>
      </c>
    </row>
    <row r="30" spans="1:10" ht="14.4" x14ac:dyDescent="0.3">
      <c r="A30" t="s">
        <v>132</v>
      </c>
      <c r="B30" t="s">
        <v>112</v>
      </c>
      <c r="C30" t="s">
        <v>96</v>
      </c>
      <c r="D30" s="9">
        <v>46001</v>
      </c>
      <c r="E30" t="s">
        <v>75</v>
      </c>
      <c r="F30">
        <v>5</v>
      </c>
      <c r="G30">
        <v>3</v>
      </c>
      <c r="H30">
        <v>5</v>
      </c>
      <c r="I30">
        <v>5</v>
      </c>
      <c r="J30" s="10" t="s">
        <v>76</v>
      </c>
    </row>
    <row r="31" spans="1:10" ht="14.4" x14ac:dyDescent="0.3">
      <c r="A31" t="s">
        <v>133</v>
      </c>
      <c r="B31" t="s">
        <v>82</v>
      </c>
      <c r="C31" t="s">
        <v>96</v>
      </c>
      <c r="D31" s="9">
        <v>46054</v>
      </c>
      <c r="E31" t="s">
        <v>75</v>
      </c>
      <c r="F31">
        <v>4</v>
      </c>
      <c r="G31">
        <v>4</v>
      </c>
      <c r="H31">
        <v>4</v>
      </c>
      <c r="I31">
        <v>4</v>
      </c>
      <c r="J31" s="10" t="s">
        <v>124</v>
      </c>
    </row>
    <row r="32" spans="1:10" ht="28.8" x14ac:dyDescent="0.3">
      <c r="A32" t="s">
        <v>134</v>
      </c>
      <c r="B32" t="s">
        <v>73</v>
      </c>
      <c r="C32" t="s">
        <v>79</v>
      </c>
      <c r="D32" s="9">
        <v>45924</v>
      </c>
      <c r="E32" t="s">
        <v>75</v>
      </c>
      <c r="F32">
        <v>3</v>
      </c>
      <c r="G32">
        <v>3</v>
      </c>
      <c r="H32">
        <v>3</v>
      </c>
      <c r="I32">
        <v>3</v>
      </c>
      <c r="J32" s="10" t="s">
        <v>135</v>
      </c>
    </row>
    <row r="33" spans="1:10" ht="14.4" x14ac:dyDescent="0.3">
      <c r="A33" t="s">
        <v>136</v>
      </c>
      <c r="B33" t="s">
        <v>89</v>
      </c>
      <c r="C33" t="s">
        <v>79</v>
      </c>
      <c r="D33" s="9">
        <v>46051</v>
      </c>
      <c r="E33" t="s">
        <v>75</v>
      </c>
      <c r="F33">
        <v>4</v>
      </c>
      <c r="G33">
        <v>3</v>
      </c>
      <c r="H33">
        <v>3</v>
      </c>
      <c r="I33">
        <v>3</v>
      </c>
      <c r="J33" s="10" t="s">
        <v>83</v>
      </c>
    </row>
    <row r="34" spans="1:10" ht="14.4" x14ac:dyDescent="0.3">
      <c r="A34" t="s">
        <v>137</v>
      </c>
      <c r="B34" t="s">
        <v>85</v>
      </c>
      <c r="C34" t="s">
        <v>79</v>
      </c>
      <c r="D34" s="9">
        <v>45892</v>
      </c>
      <c r="E34" t="s">
        <v>86</v>
      </c>
      <c r="F34">
        <v>4</v>
      </c>
      <c r="G34">
        <v>4</v>
      </c>
      <c r="H34">
        <v>5</v>
      </c>
      <c r="I34">
        <v>2</v>
      </c>
      <c r="J34" s="10" t="s">
        <v>76</v>
      </c>
    </row>
    <row r="35" spans="1:10" ht="14.4" x14ac:dyDescent="0.3">
      <c r="A35" t="s">
        <v>138</v>
      </c>
      <c r="B35" t="s">
        <v>78</v>
      </c>
      <c r="C35" t="s">
        <v>79</v>
      </c>
      <c r="D35" s="9">
        <v>46052</v>
      </c>
      <c r="E35" t="s">
        <v>75</v>
      </c>
      <c r="F35">
        <v>4</v>
      </c>
      <c r="G35">
        <v>4</v>
      </c>
      <c r="H35">
        <v>4</v>
      </c>
      <c r="I35">
        <v>5</v>
      </c>
      <c r="J35" s="10" t="s">
        <v>107</v>
      </c>
    </row>
    <row r="36" spans="1:10" ht="28.8" x14ac:dyDescent="0.3">
      <c r="A36" t="s">
        <v>139</v>
      </c>
      <c r="B36" t="s">
        <v>82</v>
      </c>
      <c r="C36" t="s">
        <v>79</v>
      </c>
      <c r="D36" s="9">
        <v>46038</v>
      </c>
      <c r="E36" t="s">
        <v>86</v>
      </c>
      <c r="F36">
        <v>5</v>
      </c>
      <c r="G36">
        <v>4</v>
      </c>
      <c r="H36">
        <v>3</v>
      </c>
      <c r="I36">
        <v>5</v>
      </c>
      <c r="J36" s="10" t="s">
        <v>103</v>
      </c>
    </row>
    <row r="37" spans="1:10" ht="28.8" x14ac:dyDescent="0.3">
      <c r="A37" t="s">
        <v>140</v>
      </c>
      <c r="B37" t="s">
        <v>78</v>
      </c>
      <c r="C37" t="s">
        <v>79</v>
      </c>
      <c r="D37" s="9">
        <v>45964</v>
      </c>
      <c r="E37" t="s">
        <v>86</v>
      </c>
      <c r="F37">
        <v>3</v>
      </c>
      <c r="G37">
        <v>4</v>
      </c>
      <c r="H37">
        <v>4</v>
      </c>
      <c r="I37">
        <v>5</v>
      </c>
      <c r="J37" s="10" t="s">
        <v>141</v>
      </c>
    </row>
    <row r="38" spans="1:10" ht="28.8" x14ac:dyDescent="0.3">
      <c r="A38" t="s">
        <v>142</v>
      </c>
      <c r="B38" t="s">
        <v>85</v>
      </c>
      <c r="C38" t="s">
        <v>74</v>
      </c>
      <c r="D38" s="9">
        <v>45997</v>
      </c>
      <c r="E38" t="s">
        <v>75</v>
      </c>
      <c r="F38">
        <v>3</v>
      </c>
      <c r="G38">
        <v>3</v>
      </c>
      <c r="H38">
        <v>4</v>
      </c>
      <c r="I38">
        <v>3</v>
      </c>
      <c r="J38" s="10" t="s">
        <v>143</v>
      </c>
    </row>
    <row r="39" spans="1:10" ht="14.4" x14ac:dyDescent="0.3">
      <c r="A39" t="s">
        <v>144</v>
      </c>
      <c r="B39" t="s">
        <v>73</v>
      </c>
      <c r="C39" t="s">
        <v>96</v>
      </c>
      <c r="D39" s="9">
        <v>45813</v>
      </c>
      <c r="E39" t="s">
        <v>75</v>
      </c>
      <c r="F39">
        <v>3</v>
      </c>
      <c r="G39">
        <v>3</v>
      </c>
      <c r="H39">
        <v>3</v>
      </c>
      <c r="I39">
        <v>3</v>
      </c>
      <c r="J39" s="10" t="s">
        <v>101</v>
      </c>
    </row>
    <row r="40" spans="1:10" ht="14.4" x14ac:dyDescent="0.3">
      <c r="A40" t="s">
        <v>145</v>
      </c>
      <c r="B40" t="s">
        <v>82</v>
      </c>
      <c r="C40" t="s">
        <v>96</v>
      </c>
      <c r="D40" s="9">
        <v>45879</v>
      </c>
      <c r="E40" t="s">
        <v>75</v>
      </c>
      <c r="F40">
        <v>3</v>
      </c>
      <c r="G40">
        <v>4</v>
      </c>
      <c r="H40">
        <v>4</v>
      </c>
      <c r="I40">
        <v>5</v>
      </c>
      <c r="J40" s="10" t="s">
        <v>124</v>
      </c>
    </row>
    <row r="41" spans="1:10" ht="14.4" x14ac:dyDescent="0.3">
      <c r="A41" t="s">
        <v>146</v>
      </c>
      <c r="B41" t="s">
        <v>82</v>
      </c>
      <c r="C41" t="s">
        <v>96</v>
      </c>
      <c r="D41" s="9">
        <v>45962</v>
      </c>
      <c r="E41" t="s">
        <v>86</v>
      </c>
      <c r="F41">
        <v>4</v>
      </c>
      <c r="G41">
        <v>5</v>
      </c>
      <c r="H41">
        <v>4</v>
      </c>
      <c r="I41">
        <v>5</v>
      </c>
      <c r="J41" s="10" t="s">
        <v>105</v>
      </c>
    </row>
    <row r="42" spans="1:10" ht="28.8" x14ac:dyDescent="0.3">
      <c r="A42" t="s">
        <v>147</v>
      </c>
      <c r="B42" t="s">
        <v>73</v>
      </c>
      <c r="C42" t="s">
        <v>79</v>
      </c>
      <c r="D42" s="9">
        <v>45940</v>
      </c>
      <c r="E42" t="s">
        <v>75</v>
      </c>
      <c r="F42">
        <v>3</v>
      </c>
      <c r="G42">
        <v>4</v>
      </c>
      <c r="H42">
        <v>4</v>
      </c>
      <c r="I42">
        <v>4</v>
      </c>
      <c r="J42" s="10" t="s">
        <v>126</v>
      </c>
    </row>
    <row r="43" spans="1:10" ht="28.8" x14ac:dyDescent="0.3">
      <c r="A43" t="s">
        <v>148</v>
      </c>
      <c r="B43" t="s">
        <v>89</v>
      </c>
      <c r="C43" t="s">
        <v>96</v>
      </c>
      <c r="D43" s="9">
        <v>45994</v>
      </c>
      <c r="E43" t="s">
        <v>75</v>
      </c>
      <c r="F43">
        <v>4</v>
      </c>
      <c r="G43">
        <v>5</v>
      </c>
      <c r="H43">
        <v>3</v>
      </c>
      <c r="I43">
        <v>5</v>
      </c>
      <c r="J43" s="10" t="s">
        <v>103</v>
      </c>
    </row>
    <row r="44" spans="1:10" ht="14.4" x14ac:dyDescent="0.3">
      <c r="A44" t="s">
        <v>149</v>
      </c>
      <c r="B44" t="s">
        <v>85</v>
      </c>
      <c r="C44" t="s">
        <v>79</v>
      </c>
      <c r="D44" s="9">
        <v>45841</v>
      </c>
      <c r="E44" t="s">
        <v>75</v>
      </c>
      <c r="F44">
        <v>4</v>
      </c>
      <c r="G44">
        <v>4</v>
      </c>
      <c r="H44">
        <v>5</v>
      </c>
      <c r="I44">
        <v>4</v>
      </c>
      <c r="J44" s="10" t="s">
        <v>94</v>
      </c>
    </row>
    <row r="45" spans="1:10" ht="14.4" x14ac:dyDescent="0.3">
      <c r="A45" t="s">
        <v>150</v>
      </c>
      <c r="B45" t="s">
        <v>73</v>
      </c>
      <c r="C45" t="s">
        <v>96</v>
      </c>
      <c r="D45" s="9">
        <v>45860</v>
      </c>
      <c r="E45" t="s">
        <v>86</v>
      </c>
      <c r="F45">
        <v>4</v>
      </c>
      <c r="G45">
        <v>5</v>
      </c>
      <c r="H45">
        <v>4</v>
      </c>
      <c r="I45">
        <v>4</v>
      </c>
      <c r="J45" s="10" t="s">
        <v>124</v>
      </c>
    </row>
    <row r="46" spans="1:10" ht="14.4" x14ac:dyDescent="0.3">
      <c r="A46" t="s">
        <v>151</v>
      </c>
      <c r="B46" t="s">
        <v>73</v>
      </c>
      <c r="C46" t="s">
        <v>79</v>
      </c>
      <c r="D46" s="9">
        <v>45840</v>
      </c>
      <c r="E46" t="s">
        <v>86</v>
      </c>
      <c r="F46">
        <v>5</v>
      </c>
      <c r="G46">
        <v>4</v>
      </c>
      <c r="H46">
        <v>4</v>
      </c>
      <c r="I46">
        <v>3</v>
      </c>
      <c r="J46" s="10" t="s">
        <v>80</v>
      </c>
    </row>
    <row r="47" spans="1:10" ht="14.4" x14ac:dyDescent="0.3">
      <c r="A47" t="s">
        <v>152</v>
      </c>
      <c r="B47" t="s">
        <v>89</v>
      </c>
      <c r="C47" t="s">
        <v>79</v>
      </c>
      <c r="D47" s="9">
        <v>45854</v>
      </c>
      <c r="E47" t="s">
        <v>75</v>
      </c>
      <c r="F47">
        <v>3</v>
      </c>
      <c r="G47">
        <v>4</v>
      </c>
      <c r="H47">
        <v>3</v>
      </c>
      <c r="I47">
        <v>4</v>
      </c>
      <c r="J47" s="10" t="s">
        <v>124</v>
      </c>
    </row>
    <row r="48" spans="1:10" ht="14.4" x14ac:dyDescent="0.3">
      <c r="A48" t="s">
        <v>153</v>
      </c>
      <c r="B48" t="s">
        <v>112</v>
      </c>
      <c r="C48" t="s">
        <v>96</v>
      </c>
      <c r="D48" s="9">
        <v>46045</v>
      </c>
      <c r="E48" t="s">
        <v>75</v>
      </c>
      <c r="F48">
        <v>4</v>
      </c>
      <c r="G48">
        <v>4</v>
      </c>
      <c r="H48">
        <v>3</v>
      </c>
      <c r="I48">
        <v>4</v>
      </c>
      <c r="J48" s="10" t="s">
        <v>94</v>
      </c>
    </row>
    <row r="49" spans="1:10" ht="14.4" x14ac:dyDescent="0.3">
      <c r="A49" t="s">
        <v>154</v>
      </c>
      <c r="B49" t="s">
        <v>112</v>
      </c>
      <c r="C49" t="s">
        <v>74</v>
      </c>
      <c r="D49" s="9">
        <v>45980</v>
      </c>
      <c r="E49" t="s">
        <v>75</v>
      </c>
      <c r="F49">
        <v>5</v>
      </c>
      <c r="G49">
        <v>5</v>
      </c>
      <c r="H49">
        <v>5</v>
      </c>
      <c r="I49">
        <v>5</v>
      </c>
      <c r="J49" s="10" t="s">
        <v>94</v>
      </c>
    </row>
    <row r="50" spans="1:10" ht="14.4" x14ac:dyDescent="0.3">
      <c r="A50" t="s">
        <v>155</v>
      </c>
      <c r="B50" t="s">
        <v>89</v>
      </c>
      <c r="C50" t="s">
        <v>79</v>
      </c>
      <c r="D50" s="9">
        <v>46002</v>
      </c>
      <c r="E50" t="s">
        <v>75</v>
      </c>
      <c r="F50">
        <v>4</v>
      </c>
      <c r="G50">
        <v>3</v>
      </c>
      <c r="H50">
        <v>3</v>
      </c>
      <c r="I50">
        <v>4</v>
      </c>
      <c r="J50" s="10" t="s">
        <v>131</v>
      </c>
    </row>
    <row r="51" spans="1:10" ht="28.8" x14ac:dyDescent="0.3">
      <c r="A51" t="s">
        <v>156</v>
      </c>
      <c r="B51" t="s">
        <v>112</v>
      </c>
      <c r="C51" t="s">
        <v>74</v>
      </c>
      <c r="D51" s="9">
        <v>45925</v>
      </c>
      <c r="E51" t="s">
        <v>75</v>
      </c>
      <c r="F51">
        <v>3</v>
      </c>
      <c r="G51">
        <v>3</v>
      </c>
      <c r="H51">
        <v>4</v>
      </c>
      <c r="I51">
        <v>3</v>
      </c>
      <c r="J51" s="10" t="s">
        <v>157</v>
      </c>
    </row>
    <row r="52" spans="1:10" ht="28.8" x14ac:dyDescent="0.3">
      <c r="A52" t="s">
        <v>158</v>
      </c>
      <c r="B52" t="s">
        <v>78</v>
      </c>
      <c r="C52" t="s">
        <v>74</v>
      </c>
      <c r="D52" s="9">
        <v>45875</v>
      </c>
      <c r="E52" t="s">
        <v>86</v>
      </c>
      <c r="F52">
        <v>4</v>
      </c>
      <c r="G52">
        <v>5</v>
      </c>
      <c r="H52">
        <v>5</v>
      </c>
      <c r="I52">
        <v>4</v>
      </c>
      <c r="J52" s="10" t="s">
        <v>126</v>
      </c>
    </row>
    <row r="53" spans="1:10" ht="14.4" x14ac:dyDescent="0.3">
      <c r="A53" t="s">
        <v>159</v>
      </c>
      <c r="B53" t="s">
        <v>73</v>
      </c>
      <c r="C53" t="s">
        <v>74</v>
      </c>
      <c r="D53" s="9">
        <v>45936</v>
      </c>
      <c r="E53" t="s">
        <v>86</v>
      </c>
      <c r="F53">
        <v>4</v>
      </c>
      <c r="G53">
        <v>5</v>
      </c>
      <c r="H53">
        <v>4</v>
      </c>
      <c r="I53">
        <v>4</v>
      </c>
      <c r="J53" s="10" t="s">
        <v>76</v>
      </c>
    </row>
    <row r="54" spans="1:10" ht="14.4" x14ac:dyDescent="0.3">
      <c r="A54" t="s">
        <v>160</v>
      </c>
      <c r="B54" t="s">
        <v>112</v>
      </c>
      <c r="C54" t="s">
        <v>74</v>
      </c>
      <c r="D54" s="9">
        <v>45847</v>
      </c>
      <c r="E54" t="s">
        <v>86</v>
      </c>
      <c r="F54">
        <v>5</v>
      </c>
      <c r="G54">
        <v>5</v>
      </c>
      <c r="H54">
        <v>5</v>
      </c>
      <c r="I54">
        <v>3</v>
      </c>
      <c r="J54" s="10" t="s">
        <v>124</v>
      </c>
    </row>
    <row r="55" spans="1:10" ht="14.4" x14ac:dyDescent="0.3">
      <c r="A55" t="s">
        <v>161</v>
      </c>
      <c r="B55" t="s">
        <v>85</v>
      </c>
      <c r="C55" t="s">
        <v>74</v>
      </c>
      <c r="D55" s="9">
        <v>45949</v>
      </c>
      <c r="E55" t="s">
        <v>75</v>
      </c>
      <c r="F55">
        <v>3</v>
      </c>
      <c r="G55">
        <v>3</v>
      </c>
      <c r="H55">
        <v>4</v>
      </c>
      <c r="I55">
        <v>2</v>
      </c>
      <c r="J55" s="10" t="s">
        <v>131</v>
      </c>
    </row>
    <row r="56" spans="1:10" ht="28.8" x14ac:dyDescent="0.3">
      <c r="A56" t="s">
        <v>162</v>
      </c>
      <c r="B56" t="s">
        <v>112</v>
      </c>
      <c r="C56" t="s">
        <v>74</v>
      </c>
      <c r="D56" s="9">
        <v>46043</v>
      </c>
      <c r="E56" t="s">
        <v>86</v>
      </c>
      <c r="F56">
        <v>4</v>
      </c>
      <c r="G56">
        <v>3</v>
      </c>
      <c r="H56">
        <v>4</v>
      </c>
      <c r="I56">
        <v>5</v>
      </c>
      <c r="J56" s="10" t="s">
        <v>126</v>
      </c>
    </row>
    <row r="57" spans="1:10" ht="14.4" x14ac:dyDescent="0.3">
      <c r="A57" t="s">
        <v>163</v>
      </c>
      <c r="B57" t="s">
        <v>82</v>
      </c>
      <c r="C57" t="s">
        <v>74</v>
      </c>
      <c r="D57" s="9">
        <v>45991</v>
      </c>
      <c r="E57" t="s">
        <v>86</v>
      </c>
      <c r="F57">
        <v>5</v>
      </c>
      <c r="G57">
        <v>5</v>
      </c>
      <c r="H57">
        <v>4</v>
      </c>
      <c r="I57">
        <v>4</v>
      </c>
      <c r="J57" s="10" t="s">
        <v>107</v>
      </c>
    </row>
    <row r="58" spans="1:10" ht="14.4" x14ac:dyDescent="0.3">
      <c r="A58" t="s">
        <v>164</v>
      </c>
      <c r="B58" t="s">
        <v>82</v>
      </c>
      <c r="C58" t="s">
        <v>79</v>
      </c>
      <c r="D58" s="9">
        <v>45904</v>
      </c>
      <c r="E58" t="s">
        <v>75</v>
      </c>
      <c r="F58">
        <v>5</v>
      </c>
      <c r="G58">
        <v>5</v>
      </c>
      <c r="H58">
        <v>5</v>
      </c>
      <c r="I58">
        <v>4</v>
      </c>
      <c r="J58" s="10" t="s">
        <v>94</v>
      </c>
    </row>
    <row r="59" spans="1:10" ht="14.4" x14ac:dyDescent="0.3">
      <c r="A59" t="s">
        <v>165</v>
      </c>
      <c r="B59" t="s">
        <v>89</v>
      </c>
      <c r="C59" t="s">
        <v>74</v>
      </c>
      <c r="D59" s="9">
        <v>45971</v>
      </c>
      <c r="E59" t="s">
        <v>86</v>
      </c>
      <c r="F59">
        <v>2</v>
      </c>
      <c r="G59">
        <v>3</v>
      </c>
      <c r="H59">
        <v>2</v>
      </c>
      <c r="I59">
        <v>4</v>
      </c>
      <c r="J59" s="10" t="s">
        <v>83</v>
      </c>
    </row>
    <row r="60" spans="1:10" ht="14.4" x14ac:dyDescent="0.3">
      <c r="A60" t="s">
        <v>166</v>
      </c>
      <c r="B60" t="s">
        <v>78</v>
      </c>
      <c r="C60" t="s">
        <v>79</v>
      </c>
      <c r="D60" s="9">
        <v>45865</v>
      </c>
      <c r="E60" t="s">
        <v>75</v>
      </c>
      <c r="F60">
        <v>2</v>
      </c>
      <c r="G60">
        <v>3</v>
      </c>
      <c r="H60">
        <v>4</v>
      </c>
      <c r="I60">
        <v>5</v>
      </c>
      <c r="J60" s="10" t="s">
        <v>110</v>
      </c>
    </row>
    <row r="61" spans="1:10" ht="14.4" x14ac:dyDescent="0.3">
      <c r="A61" t="s">
        <v>167</v>
      </c>
      <c r="B61" t="s">
        <v>78</v>
      </c>
      <c r="C61" t="s">
        <v>79</v>
      </c>
      <c r="D61" s="9">
        <v>45836</v>
      </c>
      <c r="E61" t="s">
        <v>75</v>
      </c>
      <c r="F61">
        <v>3</v>
      </c>
      <c r="G61">
        <v>4</v>
      </c>
      <c r="H61">
        <v>4</v>
      </c>
      <c r="I61">
        <v>2</v>
      </c>
      <c r="J61" s="10" t="s">
        <v>131</v>
      </c>
    </row>
    <row r="62" spans="1:10" ht="28.8" x14ac:dyDescent="0.3">
      <c r="A62" t="s">
        <v>168</v>
      </c>
      <c r="B62" t="s">
        <v>73</v>
      </c>
      <c r="C62" t="s">
        <v>74</v>
      </c>
      <c r="D62" s="9">
        <v>45820</v>
      </c>
      <c r="E62" t="s">
        <v>86</v>
      </c>
      <c r="F62">
        <v>3</v>
      </c>
      <c r="G62">
        <v>4</v>
      </c>
      <c r="H62">
        <v>4</v>
      </c>
      <c r="I62">
        <v>3</v>
      </c>
      <c r="J62" s="10" t="s">
        <v>129</v>
      </c>
    </row>
    <row r="63" spans="1:10" ht="14.4" x14ac:dyDescent="0.3">
      <c r="A63" t="s">
        <v>169</v>
      </c>
      <c r="B63" t="s">
        <v>112</v>
      </c>
      <c r="C63" t="s">
        <v>74</v>
      </c>
      <c r="D63" s="9">
        <v>46046</v>
      </c>
      <c r="E63" t="s">
        <v>86</v>
      </c>
      <c r="F63">
        <v>3</v>
      </c>
      <c r="G63">
        <v>2</v>
      </c>
      <c r="H63">
        <v>3</v>
      </c>
      <c r="I63">
        <v>3</v>
      </c>
      <c r="J63" s="10" t="s">
        <v>110</v>
      </c>
    </row>
    <row r="64" spans="1:10" ht="14.4" x14ac:dyDescent="0.3">
      <c r="A64" t="s">
        <v>170</v>
      </c>
      <c r="B64" t="s">
        <v>73</v>
      </c>
      <c r="C64" t="s">
        <v>74</v>
      </c>
      <c r="D64" s="9">
        <v>45818</v>
      </c>
      <c r="E64" t="s">
        <v>75</v>
      </c>
      <c r="F64">
        <v>3</v>
      </c>
      <c r="G64">
        <v>2</v>
      </c>
      <c r="H64">
        <v>3</v>
      </c>
      <c r="I64">
        <v>2</v>
      </c>
      <c r="J64" s="10" t="s">
        <v>131</v>
      </c>
    </row>
    <row r="65" spans="1:10" ht="14.4" x14ac:dyDescent="0.3">
      <c r="A65" t="s">
        <v>171</v>
      </c>
      <c r="B65" t="s">
        <v>85</v>
      </c>
      <c r="C65" t="s">
        <v>74</v>
      </c>
      <c r="D65" s="9">
        <v>45843</v>
      </c>
      <c r="E65" t="s">
        <v>86</v>
      </c>
      <c r="F65">
        <v>3</v>
      </c>
      <c r="G65">
        <v>4</v>
      </c>
      <c r="H65">
        <v>3</v>
      </c>
      <c r="I65">
        <v>4</v>
      </c>
      <c r="J65" s="10" t="s">
        <v>124</v>
      </c>
    </row>
    <row r="66" spans="1:10" ht="14.4" x14ac:dyDescent="0.3">
      <c r="A66" t="s">
        <v>172</v>
      </c>
      <c r="B66" t="s">
        <v>89</v>
      </c>
      <c r="C66" t="s">
        <v>79</v>
      </c>
      <c r="D66" s="9">
        <v>45891</v>
      </c>
      <c r="E66" t="s">
        <v>86</v>
      </c>
      <c r="F66">
        <v>3</v>
      </c>
      <c r="G66">
        <v>4</v>
      </c>
      <c r="H66">
        <v>2</v>
      </c>
      <c r="I66">
        <v>3</v>
      </c>
      <c r="J66" s="10" t="s">
        <v>83</v>
      </c>
    </row>
    <row r="67" spans="1:10" ht="14.4" x14ac:dyDescent="0.3">
      <c r="A67" t="s">
        <v>173</v>
      </c>
      <c r="B67" t="s">
        <v>82</v>
      </c>
      <c r="C67" t="s">
        <v>79</v>
      </c>
      <c r="D67" s="9">
        <v>45940</v>
      </c>
      <c r="E67" t="s">
        <v>75</v>
      </c>
      <c r="F67">
        <v>5</v>
      </c>
      <c r="G67">
        <v>3</v>
      </c>
      <c r="H67">
        <v>4</v>
      </c>
      <c r="I67">
        <v>4</v>
      </c>
      <c r="J67" s="10" t="s">
        <v>94</v>
      </c>
    </row>
    <row r="68" spans="1:10" ht="28.8" x14ac:dyDescent="0.3">
      <c r="A68" t="s">
        <v>174</v>
      </c>
      <c r="B68" t="s">
        <v>73</v>
      </c>
      <c r="C68" t="s">
        <v>74</v>
      </c>
      <c r="D68" s="9">
        <v>45835</v>
      </c>
      <c r="E68" t="s">
        <v>86</v>
      </c>
      <c r="F68">
        <v>4</v>
      </c>
      <c r="G68">
        <v>2</v>
      </c>
      <c r="H68">
        <v>4</v>
      </c>
      <c r="I68">
        <v>2</v>
      </c>
      <c r="J68" s="10" t="s">
        <v>135</v>
      </c>
    </row>
    <row r="69" spans="1:10" ht="28.8" x14ac:dyDescent="0.3">
      <c r="A69" t="s">
        <v>175</v>
      </c>
      <c r="B69" t="s">
        <v>78</v>
      </c>
      <c r="C69" t="s">
        <v>96</v>
      </c>
      <c r="D69" s="9">
        <v>45987</v>
      </c>
      <c r="E69" t="s">
        <v>75</v>
      </c>
      <c r="F69">
        <v>4</v>
      </c>
      <c r="G69">
        <v>3</v>
      </c>
      <c r="H69">
        <v>4</v>
      </c>
      <c r="I69">
        <v>5</v>
      </c>
      <c r="J69" s="10" t="s">
        <v>118</v>
      </c>
    </row>
    <row r="70" spans="1:10" ht="14.4" x14ac:dyDescent="0.3">
      <c r="A70" t="s">
        <v>176</v>
      </c>
      <c r="B70" t="s">
        <v>85</v>
      </c>
      <c r="C70" t="s">
        <v>96</v>
      </c>
      <c r="D70" s="9">
        <v>45963</v>
      </c>
      <c r="E70" t="s">
        <v>75</v>
      </c>
      <c r="F70">
        <v>4</v>
      </c>
      <c r="G70">
        <v>2</v>
      </c>
      <c r="H70">
        <v>3</v>
      </c>
      <c r="I70">
        <v>3</v>
      </c>
      <c r="J70" s="10" t="s">
        <v>110</v>
      </c>
    </row>
    <row r="71" spans="1:10" ht="14.4" x14ac:dyDescent="0.3">
      <c r="A71" t="s">
        <v>177</v>
      </c>
      <c r="B71" t="s">
        <v>73</v>
      </c>
      <c r="C71" t="s">
        <v>96</v>
      </c>
      <c r="D71" s="9">
        <v>46046</v>
      </c>
      <c r="E71" t="s">
        <v>86</v>
      </c>
      <c r="F71">
        <v>3</v>
      </c>
      <c r="G71">
        <v>3</v>
      </c>
      <c r="H71">
        <v>2</v>
      </c>
      <c r="I71">
        <v>2</v>
      </c>
      <c r="J71" s="10" t="s">
        <v>83</v>
      </c>
    </row>
    <row r="72" spans="1:10" ht="14.4" x14ac:dyDescent="0.3">
      <c r="A72" t="s">
        <v>178</v>
      </c>
      <c r="B72" t="s">
        <v>89</v>
      </c>
      <c r="C72" t="s">
        <v>79</v>
      </c>
      <c r="D72" s="9">
        <v>45916</v>
      </c>
      <c r="E72" t="s">
        <v>86</v>
      </c>
      <c r="F72">
        <v>3</v>
      </c>
      <c r="G72">
        <v>3</v>
      </c>
      <c r="H72">
        <v>4</v>
      </c>
      <c r="I72">
        <v>2</v>
      </c>
      <c r="J72" s="10" t="s">
        <v>110</v>
      </c>
    </row>
    <row r="73" spans="1:10" ht="14.4" x14ac:dyDescent="0.3">
      <c r="A73" t="s">
        <v>179</v>
      </c>
      <c r="B73" t="s">
        <v>73</v>
      </c>
      <c r="C73" t="s">
        <v>96</v>
      </c>
      <c r="D73" s="9">
        <v>45988</v>
      </c>
      <c r="E73" t="s">
        <v>75</v>
      </c>
      <c r="F73">
        <v>5</v>
      </c>
      <c r="G73">
        <v>4</v>
      </c>
      <c r="H73">
        <v>5</v>
      </c>
      <c r="I73">
        <v>4</v>
      </c>
      <c r="J73" s="10" t="s">
        <v>76</v>
      </c>
    </row>
    <row r="74" spans="1:10" ht="14.4" x14ac:dyDescent="0.3">
      <c r="A74" t="s">
        <v>180</v>
      </c>
      <c r="B74" t="s">
        <v>82</v>
      </c>
      <c r="C74" t="s">
        <v>74</v>
      </c>
      <c r="D74" s="9">
        <v>45890</v>
      </c>
      <c r="E74" t="s">
        <v>75</v>
      </c>
      <c r="F74">
        <v>4</v>
      </c>
      <c r="G74">
        <v>4</v>
      </c>
      <c r="H74">
        <v>4</v>
      </c>
      <c r="I74">
        <v>5</v>
      </c>
      <c r="J74" s="10" t="s">
        <v>87</v>
      </c>
    </row>
    <row r="75" spans="1:10" ht="14.4" x14ac:dyDescent="0.3">
      <c r="A75" t="s">
        <v>181</v>
      </c>
      <c r="B75" t="s">
        <v>78</v>
      </c>
      <c r="C75" t="s">
        <v>79</v>
      </c>
      <c r="D75" s="9">
        <v>45871</v>
      </c>
      <c r="E75" t="s">
        <v>86</v>
      </c>
      <c r="F75">
        <v>4</v>
      </c>
      <c r="G75">
        <v>3</v>
      </c>
      <c r="H75">
        <v>5</v>
      </c>
      <c r="I75">
        <v>5</v>
      </c>
      <c r="J75" s="10" t="s">
        <v>76</v>
      </c>
    </row>
    <row r="76" spans="1:10" ht="28.8" x14ac:dyDescent="0.3">
      <c r="A76" t="s">
        <v>182</v>
      </c>
      <c r="B76" t="s">
        <v>89</v>
      </c>
      <c r="C76" t="s">
        <v>79</v>
      </c>
      <c r="D76" s="9">
        <v>45868</v>
      </c>
      <c r="E76" t="s">
        <v>75</v>
      </c>
      <c r="F76">
        <v>3</v>
      </c>
      <c r="G76">
        <v>2</v>
      </c>
      <c r="H76">
        <v>3</v>
      </c>
      <c r="I76">
        <v>2</v>
      </c>
      <c r="J76" s="10" t="s">
        <v>92</v>
      </c>
    </row>
    <row r="77" spans="1:10" ht="14.4" x14ac:dyDescent="0.3">
      <c r="A77" t="s">
        <v>183</v>
      </c>
      <c r="B77" t="s">
        <v>112</v>
      </c>
      <c r="C77" t="s">
        <v>74</v>
      </c>
      <c r="D77" s="9">
        <v>46035</v>
      </c>
      <c r="E77" t="s">
        <v>86</v>
      </c>
      <c r="F77">
        <v>3</v>
      </c>
      <c r="G77">
        <v>4</v>
      </c>
      <c r="H77">
        <v>3</v>
      </c>
      <c r="I77">
        <v>4</v>
      </c>
      <c r="J77" s="10" t="s">
        <v>131</v>
      </c>
    </row>
    <row r="78" spans="1:10" ht="14.4" x14ac:dyDescent="0.3">
      <c r="A78" t="s">
        <v>184</v>
      </c>
      <c r="B78" t="s">
        <v>73</v>
      </c>
      <c r="C78" t="s">
        <v>74</v>
      </c>
      <c r="D78" s="9">
        <v>45901</v>
      </c>
      <c r="E78" t="s">
        <v>86</v>
      </c>
      <c r="F78">
        <v>3</v>
      </c>
      <c r="G78">
        <v>4</v>
      </c>
      <c r="H78">
        <v>3</v>
      </c>
      <c r="I78">
        <v>3</v>
      </c>
      <c r="J78" s="10" t="s">
        <v>76</v>
      </c>
    </row>
    <row r="79" spans="1:10" ht="28.8" x14ac:dyDescent="0.3">
      <c r="A79" t="s">
        <v>185</v>
      </c>
      <c r="B79" t="s">
        <v>73</v>
      </c>
      <c r="C79" t="s">
        <v>96</v>
      </c>
      <c r="D79" s="9">
        <v>46047</v>
      </c>
      <c r="E79" t="s">
        <v>75</v>
      </c>
      <c r="F79">
        <v>3</v>
      </c>
      <c r="G79">
        <v>4</v>
      </c>
      <c r="H79">
        <v>3</v>
      </c>
      <c r="I79">
        <v>4</v>
      </c>
      <c r="J79" s="10" t="s">
        <v>129</v>
      </c>
    </row>
    <row r="80" spans="1:10" ht="14.4" x14ac:dyDescent="0.3">
      <c r="A80" t="s">
        <v>186</v>
      </c>
      <c r="B80" t="s">
        <v>82</v>
      </c>
      <c r="C80" t="s">
        <v>79</v>
      </c>
      <c r="D80" s="9">
        <v>45972</v>
      </c>
      <c r="E80" t="s">
        <v>86</v>
      </c>
      <c r="F80">
        <v>5</v>
      </c>
      <c r="G80">
        <v>4</v>
      </c>
      <c r="H80">
        <v>5</v>
      </c>
      <c r="I80">
        <v>2</v>
      </c>
      <c r="J80" s="10" t="s">
        <v>94</v>
      </c>
    </row>
    <row r="81" spans="1:10" ht="14.4" x14ac:dyDescent="0.3">
      <c r="A81" t="s">
        <v>187</v>
      </c>
      <c r="B81" t="s">
        <v>78</v>
      </c>
      <c r="C81" t="s">
        <v>74</v>
      </c>
      <c r="D81" s="9">
        <v>45820</v>
      </c>
      <c r="E81" t="s">
        <v>86</v>
      </c>
      <c r="F81">
        <v>4</v>
      </c>
      <c r="G81">
        <v>5</v>
      </c>
      <c r="H81">
        <v>4</v>
      </c>
      <c r="I81">
        <v>4</v>
      </c>
      <c r="J81" s="10" t="s">
        <v>76</v>
      </c>
    </row>
    <row r="82" spans="1:10" ht="28.8" x14ac:dyDescent="0.3">
      <c r="A82" t="s">
        <v>188</v>
      </c>
      <c r="B82" t="s">
        <v>89</v>
      </c>
      <c r="C82" t="s">
        <v>96</v>
      </c>
      <c r="D82" s="9">
        <v>45838</v>
      </c>
      <c r="E82" t="s">
        <v>86</v>
      </c>
      <c r="F82">
        <v>4</v>
      </c>
      <c r="G82">
        <v>4</v>
      </c>
      <c r="H82">
        <v>4</v>
      </c>
      <c r="I82">
        <v>5</v>
      </c>
      <c r="J82" s="10" t="s">
        <v>189</v>
      </c>
    </row>
    <row r="83" spans="1:10" ht="14.4" x14ac:dyDescent="0.3">
      <c r="A83" t="s">
        <v>190</v>
      </c>
      <c r="B83" t="s">
        <v>89</v>
      </c>
      <c r="C83" t="s">
        <v>79</v>
      </c>
      <c r="D83" s="9">
        <v>45913</v>
      </c>
      <c r="E83" t="s">
        <v>75</v>
      </c>
      <c r="F83">
        <v>5</v>
      </c>
      <c r="G83">
        <v>5</v>
      </c>
      <c r="H83">
        <v>5</v>
      </c>
      <c r="I83">
        <v>4</v>
      </c>
      <c r="J83" s="10" t="s">
        <v>191</v>
      </c>
    </row>
    <row r="84" spans="1:10" ht="28.8" x14ac:dyDescent="0.3">
      <c r="A84" t="s">
        <v>192</v>
      </c>
      <c r="B84" t="s">
        <v>82</v>
      </c>
      <c r="C84" t="s">
        <v>96</v>
      </c>
      <c r="D84" s="9">
        <v>45815</v>
      </c>
      <c r="E84" t="s">
        <v>75</v>
      </c>
      <c r="F84">
        <v>5</v>
      </c>
      <c r="G84">
        <v>4</v>
      </c>
      <c r="H84">
        <v>5</v>
      </c>
      <c r="I84">
        <v>4</v>
      </c>
      <c r="J84" s="10" t="s">
        <v>189</v>
      </c>
    </row>
    <row r="85" spans="1:10" ht="14.4" x14ac:dyDescent="0.3">
      <c r="A85" t="s">
        <v>193</v>
      </c>
      <c r="B85" t="s">
        <v>85</v>
      </c>
      <c r="C85" t="s">
        <v>96</v>
      </c>
      <c r="D85" s="9">
        <v>45973</v>
      </c>
      <c r="E85" t="s">
        <v>86</v>
      </c>
      <c r="F85">
        <v>4</v>
      </c>
      <c r="G85">
        <v>5</v>
      </c>
      <c r="H85">
        <v>5</v>
      </c>
      <c r="I85">
        <v>5</v>
      </c>
      <c r="J85" s="10" t="s">
        <v>124</v>
      </c>
    </row>
    <row r="86" spans="1:10" ht="14.4" x14ac:dyDescent="0.3">
      <c r="A86" t="s">
        <v>194</v>
      </c>
      <c r="B86" t="s">
        <v>85</v>
      </c>
      <c r="C86" t="s">
        <v>74</v>
      </c>
      <c r="D86" s="9">
        <v>45814</v>
      </c>
      <c r="E86" t="s">
        <v>86</v>
      </c>
      <c r="F86">
        <v>5</v>
      </c>
      <c r="G86">
        <v>5</v>
      </c>
      <c r="H86">
        <v>4</v>
      </c>
      <c r="I86">
        <v>5</v>
      </c>
      <c r="J86" s="10" t="s">
        <v>94</v>
      </c>
    </row>
    <row r="87" spans="1:10" ht="28.8" x14ac:dyDescent="0.3">
      <c r="A87" t="s">
        <v>195</v>
      </c>
      <c r="B87" t="s">
        <v>85</v>
      </c>
      <c r="C87" t="s">
        <v>74</v>
      </c>
      <c r="D87" s="9">
        <v>46023</v>
      </c>
      <c r="E87" t="s">
        <v>86</v>
      </c>
      <c r="F87">
        <v>2</v>
      </c>
      <c r="G87">
        <v>3</v>
      </c>
      <c r="H87">
        <v>3</v>
      </c>
      <c r="I87">
        <v>2</v>
      </c>
      <c r="J87" s="10" t="s">
        <v>196</v>
      </c>
    </row>
    <row r="88" spans="1:10" ht="14.4" x14ac:dyDescent="0.3">
      <c r="A88" t="s">
        <v>197</v>
      </c>
      <c r="B88" t="s">
        <v>82</v>
      </c>
      <c r="C88" t="s">
        <v>96</v>
      </c>
      <c r="D88" s="9">
        <v>46027</v>
      </c>
      <c r="E88" t="s">
        <v>86</v>
      </c>
      <c r="F88">
        <v>3</v>
      </c>
      <c r="G88">
        <v>3</v>
      </c>
      <c r="H88">
        <v>2</v>
      </c>
      <c r="I88">
        <v>3</v>
      </c>
      <c r="J88" s="10" t="s">
        <v>131</v>
      </c>
    </row>
    <row r="89" spans="1:10" ht="28.8" x14ac:dyDescent="0.3">
      <c r="A89" t="s">
        <v>198</v>
      </c>
      <c r="B89" t="s">
        <v>73</v>
      </c>
      <c r="C89" t="s">
        <v>79</v>
      </c>
      <c r="D89" s="9">
        <v>45922</v>
      </c>
      <c r="E89" t="s">
        <v>86</v>
      </c>
      <c r="F89">
        <v>4</v>
      </c>
      <c r="G89">
        <v>4</v>
      </c>
      <c r="H89">
        <v>3</v>
      </c>
      <c r="I89">
        <v>5</v>
      </c>
      <c r="J89" s="10" t="s">
        <v>199</v>
      </c>
    </row>
    <row r="90" spans="1:10" ht="14.4" x14ac:dyDescent="0.3">
      <c r="A90" t="s">
        <v>200</v>
      </c>
      <c r="B90" t="s">
        <v>89</v>
      </c>
      <c r="C90" t="s">
        <v>79</v>
      </c>
      <c r="D90" s="9">
        <v>45989</v>
      </c>
      <c r="E90" t="s">
        <v>75</v>
      </c>
      <c r="F90">
        <v>2</v>
      </c>
      <c r="G90">
        <v>3</v>
      </c>
      <c r="H90">
        <v>2</v>
      </c>
      <c r="I90">
        <v>2</v>
      </c>
      <c r="J90" s="10" t="s">
        <v>110</v>
      </c>
    </row>
    <row r="91" spans="1:10" ht="14.4" x14ac:dyDescent="0.3">
      <c r="A91" t="s">
        <v>201</v>
      </c>
      <c r="B91" t="s">
        <v>89</v>
      </c>
      <c r="C91" t="s">
        <v>96</v>
      </c>
      <c r="D91" s="9">
        <v>45909</v>
      </c>
      <c r="E91" t="s">
        <v>75</v>
      </c>
      <c r="F91">
        <v>5</v>
      </c>
      <c r="G91">
        <v>4</v>
      </c>
      <c r="H91">
        <v>4</v>
      </c>
      <c r="I91">
        <v>5</v>
      </c>
      <c r="J91" s="10" t="s">
        <v>124</v>
      </c>
    </row>
    <row r="92" spans="1:10" ht="14.4" x14ac:dyDescent="0.3">
      <c r="A92" t="s">
        <v>202</v>
      </c>
      <c r="B92" t="s">
        <v>89</v>
      </c>
      <c r="C92" t="s">
        <v>96</v>
      </c>
      <c r="D92" s="9">
        <v>45939</v>
      </c>
      <c r="E92" t="s">
        <v>75</v>
      </c>
      <c r="F92">
        <v>5</v>
      </c>
      <c r="G92">
        <v>3</v>
      </c>
      <c r="H92">
        <v>5</v>
      </c>
      <c r="I92">
        <v>4</v>
      </c>
      <c r="J92" s="10" t="s">
        <v>99</v>
      </c>
    </row>
    <row r="93" spans="1:10" ht="14.4" x14ac:dyDescent="0.3">
      <c r="A93" t="s">
        <v>203</v>
      </c>
      <c r="B93" t="s">
        <v>78</v>
      </c>
      <c r="C93" t="s">
        <v>79</v>
      </c>
      <c r="D93" s="9">
        <v>45966</v>
      </c>
      <c r="E93" t="s">
        <v>86</v>
      </c>
      <c r="F93">
        <v>4</v>
      </c>
      <c r="G93">
        <v>2</v>
      </c>
      <c r="H93">
        <v>4</v>
      </c>
      <c r="I93">
        <v>4</v>
      </c>
      <c r="J93" s="10" t="s">
        <v>94</v>
      </c>
    </row>
    <row r="94" spans="1:10" ht="14.4" x14ac:dyDescent="0.3">
      <c r="A94" t="s">
        <v>204</v>
      </c>
      <c r="B94" t="s">
        <v>78</v>
      </c>
      <c r="C94" t="s">
        <v>79</v>
      </c>
      <c r="D94" s="9">
        <v>45950</v>
      </c>
      <c r="E94" t="s">
        <v>75</v>
      </c>
      <c r="F94">
        <v>3</v>
      </c>
      <c r="G94">
        <v>3</v>
      </c>
      <c r="H94">
        <v>3</v>
      </c>
      <c r="I94">
        <v>2</v>
      </c>
      <c r="J94" s="10" t="s">
        <v>131</v>
      </c>
    </row>
    <row r="95" spans="1:10" ht="14.4" x14ac:dyDescent="0.3">
      <c r="A95" t="s">
        <v>205</v>
      </c>
      <c r="B95" t="s">
        <v>82</v>
      </c>
      <c r="C95" t="s">
        <v>79</v>
      </c>
      <c r="D95" s="9">
        <v>45918</v>
      </c>
      <c r="E95" t="s">
        <v>86</v>
      </c>
      <c r="F95">
        <v>5</v>
      </c>
      <c r="G95">
        <v>2</v>
      </c>
      <c r="H95">
        <v>4</v>
      </c>
      <c r="I95">
        <v>4</v>
      </c>
      <c r="J95" s="10" t="s">
        <v>90</v>
      </c>
    </row>
    <row r="96" spans="1:10" ht="28.8" x14ac:dyDescent="0.3">
      <c r="A96" t="s">
        <v>206</v>
      </c>
      <c r="B96" t="s">
        <v>73</v>
      </c>
      <c r="C96" t="s">
        <v>79</v>
      </c>
      <c r="D96" s="9">
        <v>46055</v>
      </c>
      <c r="E96" t="s">
        <v>86</v>
      </c>
      <c r="F96">
        <v>4</v>
      </c>
      <c r="G96">
        <v>3</v>
      </c>
      <c r="H96">
        <v>5</v>
      </c>
      <c r="I96">
        <v>4</v>
      </c>
      <c r="J96" s="10" t="s">
        <v>103</v>
      </c>
    </row>
    <row r="97" spans="1:10" ht="28.8" x14ac:dyDescent="0.3">
      <c r="A97" t="s">
        <v>207</v>
      </c>
      <c r="B97" t="s">
        <v>73</v>
      </c>
      <c r="C97" t="s">
        <v>79</v>
      </c>
      <c r="D97" s="9">
        <v>45845</v>
      </c>
      <c r="E97" t="s">
        <v>75</v>
      </c>
      <c r="F97">
        <v>2</v>
      </c>
      <c r="G97">
        <v>2</v>
      </c>
      <c r="H97">
        <v>3</v>
      </c>
      <c r="I97">
        <v>3</v>
      </c>
      <c r="J97" s="10" t="s">
        <v>92</v>
      </c>
    </row>
    <row r="98" spans="1:10" ht="14.4" x14ac:dyDescent="0.3">
      <c r="A98" t="s">
        <v>208</v>
      </c>
      <c r="B98" t="s">
        <v>112</v>
      </c>
      <c r="C98" t="s">
        <v>74</v>
      </c>
      <c r="D98" s="9">
        <v>45840</v>
      </c>
      <c r="E98" t="s">
        <v>86</v>
      </c>
      <c r="F98">
        <v>4</v>
      </c>
      <c r="G98">
        <v>2</v>
      </c>
      <c r="H98">
        <v>2</v>
      </c>
      <c r="I98">
        <v>2</v>
      </c>
      <c r="J98" s="10" t="s">
        <v>101</v>
      </c>
    </row>
    <row r="99" spans="1:10" ht="14.4" x14ac:dyDescent="0.3">
      <c r="A99" t="s">
        <v>209</v>
      </c>
      <c r="B99" t="s">
        <v>85</v>
      </c>
      <c r="C99" t="s">
        <v>96</v>
      </c>
      <c r="D99" s="9">
        <v>45976</v>
      </c>
      <c r="E99" t="s">
        <v>75</v>
      </c>
      <c r="F99">
        <v>4</v>
      </c>
      <c r="G99">
        <v>5</v>
      </c>
      <c r="H99">
        <v>5</v>
      </c>
      <c r="I99">
        <v>5</v>
      </c>
      <c r="J99" s="10" t="s">
        <v>80</v>
      </c>
    </row>
    <row r="100" spans="1:10" ht="14.4" x14ac:dyDescent="0.3">
      <c r="A100" t="s">
        <v>210</v>
      </c>
      <c r="B100" t="s">
        <v>89</v>
      </c>
      <c r="C100" t="s">
        <v>79</v>
      </c>
      <c r="D100" s="9">
        <v>45974</v>
      </c>
      <c r="E100" t="s">
        <v>86</v>
      </c>
      <c r="F100">
        <v>3</v>
      </c>
      <c r="G100">
        <v>3</v>
      </c>
      <c r="H100">
        <v>3</v>
      </c>
      <c r="I100">
        <v>3</v>
      </c>
      <c r="J100" s="10" t="s">
        <v>131</v>
      </c>
    </row>
    <row r="101" spans="1:10" ht="14.4" x14ac:dyDescent="0.3">
      <c r="A101" t="s">
        <v>211</v>
      </c>
      <c r="B101" t="s">
        <v>85</v>
      </c>
      <c r="C101" t="s">
        <v>79</v>
      </c>
      <c r="D101" s="9">
        <v>45968</v>
      </c>
      <c r="E101" t="s">
        <v>86</v>
      </c>
      <c r="F101">
        <v>3</v>
      </c>
      <c r="G101">
        <v>2</v>
      </c>
      <c r="H101">
        <v>3</v>
      </c>
      <c r="I101">
        <v>4</v>
      </c>
      <c r="J101" s="10" t="s">
        <v>83</v>
      </c>
    </row>
    <row r="102" spans="1:10" ht="28.8" x14ac:dyDescent="0.3">
      <c r="A102" t="s">
        <v>212</v>
      </c>
      <c r="B102" t="s">
        <v>73</v>
      </c>
      <c r="C102" t="s">
        <v>79</v>
      </c>
      <c r="D102" s="9">
        <v>46017</v>
      </c>
      <c r="E102" t="s">
        <v>75</v>
      </c>
      <c r="F102">
        <v>4</v>
      </c>
      <c r="G102">
        <v>3</v>
      </c>
      <c r="H102">
        <v>4</v>
      </c>
      <c r="I102">
        <v>3</v>
      </c>
      <c r="J102" s="10" t="s">
        <v>213</v>
      </c>
    </row>
    <row r="103" spans="1:10" ht="14.4" x14ac:dyDescent="0.3">
      <c r="A103" t="s">
        <v>214</v>
      </c>
      <c r="B103" t="s">
        <v>78</v>
      </c>
      <c r="C103" t="s">
        <v>79</v>
      </c>
      <c r="D103" s="9">
        <v>45843</v>
      </c>
      <c r="E103" t="s">
        <v>75</v>
      </c>
      <c r="F103">
        <v>5</v>
      </c>
      <c r="G103">
        <v>5</v>
      </c>
      <c r="H103">
        <v>5</v>
      </c>
      <c r="I103">
        <v>2</v>
      </c>
      <c r="J103" s="10" t="s">
        <v>124</v>
      </c>
    </row>
    <row r="104" spans="1:10" ht="28.8" x14ac:dyDescent="0.3">
      <c r="A104" t="s">
        <v>215</v>
      </c>
      <c r="B104" t="s">
        <v>85</v>
      </c>
      <c r="C104" t="s">
        <v>74</v>
      </c>
      <c r="D104" s="9">
        <v>45976</v>
      </c>
      <c r="E104" t="s">
        <v>86</v>
      </c>
      <c r="F104">
        <v>5</v>
      </c>
      <c r="G104">
        <v>4</v>
      </c>
      <c r="H104">
        <v>4</v>
      </c>
      <c r="I104">
        <v>4</v>
      </c>
      <c r="J104" s="10" t="s">
        <v>103</v>
      </c>
    </row>
    <row r="105" spans="1:10" ht="14.4" x14ac:dyDescent="0.3">
      <c r="A105" t="s">
        <v>216</v>
      </c>
      <c r="B105" t="s">
        <v>112</v>
      </c>
      <c r="C105" t="s">
        <v>74</v>
      </c>
      <c r="D105" s="9">
        <v>45917</v>
      </c>
      <c r="E105" t="s">
        <v>86</v>
      </c>
      <c r="F105">
        <v>3</v>
      </c>
      <c r="G105">
        <v>2</v>
      </c>
      <c r="H105">
        <v>3</v>
      </c>
      <c r="I105">
        <v>3</v>
      </c>
      <c r="J105" s="10" t="s">
        <v>83</v>
      </c>
    </row>
    <row r="106" spans="1:10" ht="14.4" x14ac:dyDescent="0.3">
      <c r="A106" t="s">
        <v>217</v>
      </c>
      <c r="B106" t="s">
        <v>85</v>
      </c>
      <c r="C106" t="s">
        <v>96</v>
      </c>
      <c r="D106" s="9">
        <v>45977</v>
      </c>
      <c r="E106" t="s">
        <v>86</v>
      </c>
      <c r="F106">
        <v>4</v>
      </c>
      <c r="G106">
        <v>3</v>
      </c>
      <c r="H106">
        <v>4</v>
      </c>
      <c r="I106">
        <v>3</v>
      </c>
      <c r="J106" s="10" t="s">
        <v>101</v>
      </c>
    </row>
    <row r="107" spans="1:10" ht="14.4" x14ac:dyDescent="0.3">
      <c r="A107" t="s">
        <v>218</v>
      </c>
      <c r="B107" t="s">
        <v>89</v>
      </c>
      <c r="C107" t="s">
        <v>96</v>
      </c>
      <c r="D107" s="9">
        <v>45834</v>
      </c>
      <c r="E107" t="s">
        <v>75</v>
      </c>
      <c r="F107">
        <v>4</v>
      </c>
      <c r="G107">
        <v>4</v>
      </c>
      <c r="H107">
        <v>4</v>
      </c>
      <c r="I107">
        <v>4</v>
      </c>
      <c r="J107" s="10" t="s">
        <v>80</v>
      </c>
    </row>
    <row r="108" spans="1:10" ht="28.8" x14ac:dyDescent="0.3">
      <c r="A108" t="s">
        <v>219</v>
      </c>
      <c r="B108" t="s">
        <v>78</v>
      </c>
      <c r="C108" t="s">
        <v>96</v>
      </c>
      <c r="D108" s="9">
        <v>45892</v>
      </c>
      <c r="E108" t="s">
        <v>86</v>
      </c>
      <c r="F108">
        <v>3</v>
      </c>
      <c r="G108">
        <v>3</v>
      </c>
      <c r="H108">
        <v>3</v>
      </c>
      <c r="I108">
        <v>4</v>
      </c>
      <c r="J108" s="10" t="s">
        <v>120</v>
      </c>
    </row>
    <row r="109" spans="1:10" ht="14.4" x14ac:dyDescent="0.3">
      <c r="A109" t="s">
        <v>220</v>
      </c>
      <c r="B109" t="s">
        <v>78</v>
      </c>
      <c r="C109" t="s">
        <v>79</v>
      </c>
      <c r="D109" s="9">
        <v>46028</v>
      </c>
      <c r="E109" t="s">
        <v>86</v>
      </c>
      <c r="F109">
        <v>5</v>
      </c>
      <c r="G109">
        <v>4</v>
      </c>
      <c r="H109">
        <v>4</v>
      </c>
      <c r="I109">
        <v>5</v>
      </c>
      <c r="J109" s="10" t="s">
        <v>87</v>
      </c>
    </row>
    <row r="110" spans="1:10" ht="14.4" x14ac:dyDescent="0.3">
      <c r="A110" t="s">
        <v>221</v>
      </c>
      <c r="B110" t="s">
        <v>112</v>
      </c>
      <c r="C110" t="s">
        <v>79</v>
      </c>
      <c r="D110" s="9">
        <v>45906</v>
      </c>
      <c r="E110" t="s">
        <v>86</v>
      </c>
      <c r="F110">
        <v>4</v>
      </c>
      <c r="G110">
        <v>4</v>
      </c>
      <c r="H110">
        <v>5</v>
      </c>
      <c r="I110">
        <v>4</v>
      </c>
      <c r="J110" s="10" t="s">
        <v>105</v>
      </c>
    </row>
    <row r="111" spans="1:10" ht="14.4" x14ac:dyDescent="0.3">
      <c r="A111" t="s">
        <v>222</v>
      </c>
      <c r="B111" t="s">
        <v>112</v>
      </c>
      <c r="C111" t="s">
        <v>96</v>
      </c>
      <c r="D111" s="9">
        <v>45893</v>
      </c>
      <c r="E111" t="s">
        <v>86</v>
      </c>
      <c r="F111">
        <v>4</v>
      </c>
      <c r="G111">
        <v>3</v>
      </c>
      <c r="H111">
        <v>5</v>
      </c>
      <c r="I111">
        <v>5</v>
      </c>
      <c r="J111" s="10" t="s">
        <v>191</v>
      </c>
    </row>
    <row r="112" spans="1:10" ht="14.4" x14ac:dyDescent="0.3">
      <c r="A112" t="s">
        <v>223</v>
      </c>
      <c r="B112" t="s">
        <v>112</v>
      </c>
      <c r="C112" t="s">
        <v>74</v>
      </c>
      <c r="D112" s="9">
        <v>45817</v>
      </c>
      <c r="E112" t="s">
        <v>75</v>
      </c>
      <c r="F112">
        <v>4</v>
      </c>
      <c r="G112">
        <v>4</v>
      </c>
      <c r="H112">
        <v>5</v>
      </c>
      <c r="I112">
        <v>4</v>
      </c>
      <c r="J112" s="10" t="s">
        <v>90</v>
      </c>
    </row>
    <row r="113" spans="1:10" ht="14.4" x14ac:dyDescent="0.3">
      <c r="A113" t="s">
        <v>224</v>
      </c>
      <c r="B113" t="s">
        <v>112</v>
      </c>
      <c r="C113" t="s">
        <v>79</v>
      </c>
      <c r="D113" s="9">
        <v>45871</v>
      </c>
      <c r="E113" t="s">
        <v>75</v>
      </c>
      <c r="F113">
        <v>3</v>
      </c>
      <c r="G113">
        <v>3</v>
      </c>
      <c r="H113">
        <v>3</v>
      </c>
      <c r="I113">
        <v>3</v>
      </c>
      <c r="J113" s="10" t="s">
        <v>110</v>
      </c>
    </row>
    <row r="114" spans="1:10" ht="28.8" x14ac:dyDescent="0.3">
      <c r="A114" t="s">
        <v>225</v>
      </c>
      <c r="B114" t="s">
        <v>89</v>
      </c>
      <c r="C114" t="s">
        <v>79</v>
      </c>
      <c r="D114" s="9">
        <v>46000</v>
      </c>
      <c r="E114" t="s">
        <v>75</v>
      </c>
      <c r="F114">
        <v>4</v>
      </c>
      <c r="G114">
        <v>5</v>
      </c>
      <c r="H114">
        <v>4</v>
      </c>
      <c r="I114">
        <v>4</v>
      </c>
      <c r="J114" s="10" t="s">
        <v>189</v>
      </c>
    </row>
    <row r="115" spans="1:10" ht="14.4" x14ac:dyDescent="0.3">
      <c r="A115" t="s">
        <v>226</v>
      </c>
      <c r="B115" t="s">
        <v>112</v>
      </c>
      <c r="C115" t="s">
        <v>74</v>
      </c>
      <c r="D115" s="9">
        <v>46048</v>
      </c>
      <c r="E115" t="s">
        <v>75</v>
      </c>
      <c r="F115">
        <v>4</v>
      </c>
      <c r="G115">
        <v>5</v>
      </c>
      <c r="H115">
        <v>4</v>
      </c>
      <c r="I115">
        <v>4</v>
      </c>
      <c r="J115" s="10" t="s">
        <v>105</v>
      </c>
    </row>
    <row r="116" spans="1:10" ht="28.8" x14ac:dyDescent="0.3">
      <c r="A116" t="s">
        <v>227</v>
      </c>
      <c r="B116" t="s">
        <v>112</v>
      </c>
      <c r="C116" t="s">
        <v>74</v>
      </c>
      <c r="D116" s="9">
        <v>45881</v>
      </c>
      <c r="E116" t="s">
        <v>86</v>
      </c>
      <c r="F116">
        <v>3</v>
      </c>
      <c r="G116">
        <v>3</v>
      </c>
      <c r="H116">
        <v>4</v>
      </c>
      <c r="I116">
        <v>4</v>
      </c>
      <c r="J116" s="10" t="s">
        <v>115</v>
      </c>
    </row>
    <row r="117" spans="1:10" ht="28.8" x14ac:dyDescent="0.3">
      <c r="A117" t="s">
        <v>228</v>
      </c>
      <c r="B117" t="s">
        <v>112</v>
      </c>
      <c r="C117" t="s">
        <v>79</v>
      </c>
      <c r="D117" s="9">
        <v>46021</v>
      </c>
      <c r="E117" t="s">
        <v>75</v>
      </c>
      <c r="F117">
        <v>5</v>
      </c>
      <c r="G117">
        <v>4</v>
      </c>
      <c r="H117">
        <v>4</v>
      </c>
      <c r="I117">
        <v>4</v>
      </c>
      <c r="J117" s="10" t="s">
        <v>141</v>
      </c>
    </row>
    <row r="118" spans="1:10" ht="28.8" x14ac:dyDescent="0.3">
      <c r="A118" t="s">
        <v>229</v>
      </c>
      <c r="B118" t="s">
        <v>112</v>
      </c>
      <c r="C118" t="s">
        <v>96</v>
      </c>
      <c r="D118" s="9">
        <v>45964</v>
      </c>
      <c r="E118" t="s">
        <v>75</v>
      </c>
      <c r="F118">
        <v>3</v>
      </c>
      <c r="G118">
        <v>2</v>
      </c>
      <c r="H118">
        <v>3</v>
      </c>
      <c r="I118">
        <v>3</v>
      </c>
      <c r="J118" s="10" t="s">
        <v>157</v>
      </c>
    </row>
    <row r="119" spans="1:10" ht="28.8" x14ac:dyDescent="0.3">
      <c r="A119" t="s">
        <v>230</v>
      </c>
      <c r="B119" t="s">
        <v>89</v>
      </c>
      <c r="C119" t="s">
        <v>74</v>
      </c>
      <c r="D119" s="9">
        <v>45902</v>
      </c>
      <c r="E119" t="s">
        <v>75</v>
      </c>
      <c r="F119">
        <v>4</v>
      </c>
      <c r="G119">
        <v>4</v>
      </c>
      <c r="H119">
        <v>5</v>
      </c>
      <c r="I119">
        <v>4</v>
      </c>
      <c r="J119" s="10" t="s">
        <v>126</v>
      </c>
    </row>
    <row r="120" spans="1:10" ht="14.4" x14ac:dyDescent="0.3">
      <c r="A120" t="s">
        <v>231</v>
      </c>
      <c r="B120" t="s">
        <v>82</v>
      </c>
      <c r="C120" t="s">
        <v>74</v>
      </c>
      <c r="D120" s="9">
        <v>46046</v>
      </c>
      <c r="E120" t="s">
        <v>75</v>
      </c>
      <c r="F120">
        <v>4</v>
      </c>
      <c r="G120">
        <v>3</v>
      </c>
      <c r="H120">
        <v>4</v>
      </c>
      <c r="I120">
        <v>3</v>
      </c>
      <c r="J120" s="10" t="s">
        <v>90</v>
      </c>
    </row>
    <row r="121" spans="1:10" ht="14.4" x14ac:dyDescent="0.3">
      <c r="A121" t="s">
        <v>232</v>
      </c>
      <c r="B121" t="s">
        <v>78</v>
      </c>
      <c r="C121" t="s">
        <v>79</v>
      </c>
      <c r="D121" s="9">
        <v>45902</v>
      </c>
      <c r="E121" t="s">
        <v>75</v>
      </c>
      <c r="F121">
        <v>4</v>
      </c>
      <c r="G121">
        <v>5</v>
      </c>
      <c r="H121">
        <v>4</v>
      </c>
      <c r="I121">
        <v>4</v>
      </c>
      <c r="J121" s="10" t="s">
        <v>124</v>
      </c>
    </row>
    <row r="122" spans="1:10" ht="14.4" x14ac:dyDescent="0.3">
      <c r="A122" t="s">
        <v>233</v>
      </c>
      <c r="B122" t="s">
        <v>85</v>
      </c>
      <c r="C122" t="s">
        <v>79</v>
      </c>
      <c r="D122" s="9">
        <v>45849</v>
      </c>
      <c r="E122" t="s">
        <v>86</v>
      </c>
      <c r="F122">
        <v>3</v>
      </c>
      <c r="G122">
        <v>2</v>
      </c>
      <c r="H122">
        <v>3</v>
      </c>
      <c r="I122">
        <v>5</v>
      </c>
      <c r="J122" s="10" t="s">
        <v>101</v>
      </c>
    </row>
    <row r="123" spans="1:10" ht="14.4" x14ac:dyDescent="0.3">
      <c r="A123" t="s">
        <v>234</v>
      </c>
      <c r="B123" t="s">
        <v>73</v>
      </c>
      <c r="C123" t="s">
        <v>79</v>
      </c>
      <c r="D123" s="9">
        <v>45901</v>
      </c>
      <c r="E123" t="s">
        <v>86</v>
      </c>
      <c r="F123">
        <v>4</v>
      </c>
      <c r="G123">
        <v>4</v>
      </c>
      <c r="H123">
        <v>5</v>
      </c>
      <c r="I123">
        <v>3</v>
      </c>
      <c r="J123" s="10" t="s">
        <v>94</v>
      </c>
    </row>
    <row r="124" spans="1:10" ht="14.4" x14ac:dyDescent="0.3">
      <c r="A124" t="s">
        <v>235</v>
      </c>
      <c r="B124" t="s">
        <v>89</v>
      </c>
      <c r="C124" t="s">
        <v>79</v>
      </c>
      <c r="D124" s="9">
        <v>45996</v>
      </c>
      <c r="E124" t="s">
        <v>86</v>
      </c>
      <c r="F124">
        <v>4</v>
      </c>
      <c r="G124">
        <v>4</v>
      </c>
      <c r="H124">
        <v>4</v>
      </c>
      <c r="I124">
        <v>5</v>
      </c>
      <c r="J124" s="10" t="s">
        <v>90</v>
      </c>
    </row>
    <row r="125" spans="1:10" ht="28.8" x14ac:dyDescent="0.3">
      <c r="A125" t="s">
        <v>236</v>
      </c>
      <c r="B125" t="s">
        <v>85</v>
      </c>
      <c r="C125" t="s">
        <v>74</v>
      </c>
      <c r="D125" s="9">
        <v>45913</v>
      </c>
      <c r="E125" t="s">
        <v>75</v>
      </c>
      <c r="F125">
        <v>2</v>
      </c>
      <c r="G125">
        <v>2</v>
      </c>
      <c r="H125">
        <v>2</v>
      </c>
      <c r="I125">
        <v>3</v>
      </c>
      <c r="J125" s="10" t="s">
        <v>237</v>
      </c>
    </row>
    <row r="126" spans="1:10" ht="14.4" x14ac:dyDescent="0.3">
      <c r="A126" t="s">
        <v>238</v>
      </c>
      <c r="B126" t="s">
        <v>112</v>
      </c>
      <c r="C126" t="s">
        <v>79</v>
      </c>
      <c r="D126" s="9">
        <v>46017</v>
      </c>
      <c r="E126" t="s">
        <v>86</v>
      </c>
      <c r="F126">
        <v>3</v>
      </c>
      <c r="G126">
        <v>3</v>
      </c>
      <c r="H126">
        <v>2</v>
      </c>
      <c r="I126">
        <v>3</v>
      </c>
      <c r="J126" s="10" t="s">
        <v>110</v>
      </c>
    </row>
    <row r="127" spans="1:10" ht="28.8" x14ac:dyDescent="0.3">
      <c r="A127" t="s">
        <v>239</v>
      </c>
      <c r="B127" t="s">
        <v>85</v>
      </c>
      <c r="C127" t="s">
        <v>74</v>
      </c>
      <c r="D127" s="9">
        <v>45918</v>
      </c>
      <c r="E127" t="s">
        <v>86</v>
      </c>
      <c r="F127">
        <v>3</v>
      </c>
      <c r="G127">
        <v>3</v>
      </c>
      <c r="H127">
        <v>4</v>
      </c>
      <c r="I127">
        <v>3</v>
      </c>
      <c r="J127" s="10" t="s">
        <v>196</v>
      </c>
    </row>
    <row r="128" spans="1:10" ht="14.4" x14ac:dyDescent="0.3">
      <c r="A128" t="s">
        <v>240</v>
      </c>
      <c r="B128" t="s">
        <v>112</v>
      </c>
      <c r="C128" t="s">
        <v>79</v>
      </c>
      <c r="D128" s="9">
        <v>45830</v>
      </c>
      <c r="E128" t="s">
        <v>86</v>
      </c>
      <c r="F128">
        <v>3</v>
      </c>
      <c r="G128">
        <v>5</v>
      </c>
      <c r="H128">
        <v>3</v>
      </c>
      <c r="I128">
        <v>2</v>
      </c>
      <c r="J128" s="10" t="s">
        <v>90</v>
      </c>
    </row>
    <row r="129" spans="1:10" ht="14.4" x14ac:dyDescent="0.3">
      <c r="A129" t="s">
        <v>241</v>
      </c>
      <c r="B129" t="s">
        <v>73</v>
      </c>
      <c r="C129" t="s">
        <v>79</v>
      </c>
      <c r="D129" s="9">
        <v>46004</v>
      </c>
      <c r="E129" t="s">
        <v>86</v>
      </c>
      <c r="F129">
        <v>2</v>
      </c>
      <c r="G129">
        <v>2</v>
      </c>
      <c r="H129">
        <v>4</v>
      </c>
      <c r="I129">
        <v>4</v>
      </c>
      <c r="J129" s="10" t="s">
        <v>101</v>
      </c>
    </row>
    <row r="130" spans="1:10" ht="28.8" x14ac:dyDescent="0.3">
      <c r="A130" t="s">
        <v>242</v>
      </c>
      <c r="B130" t="s">
        <v>82</v>
      </c>
      <c r="C130" t="s">
        <v>79</v>
      </c>
      <c r="D130" s="9">
        <v>45855</v>
      </c>
      <c r="E130" t="s">
        <v>75</v>
      </c>
      <c r="F130">
        <v>4</v>
      </c>
      <c r="G130">
        <v>5</v>
      </c>
      <c r="H130">
        <v>4</v>
      </c>
      <c r="I130">
        <v>3</v>
      </c>
      <c r="J130" s="10" t="s">
        <v>103</v>
      </c>
    </row>
    <row r="131" spans="1:10" ht="14.4" x14ac:dyDescent="0.3">
      <c r="A131" t="s">
        <v>243</v>
      </c>
      <c r="B131" t="s">
        <v>82</v>
      </c>
      <c r="C131" t="s">
        <v>74</v>
      </c>
      <c r="D131" s="9">
        <v>45857</v>
      </c>
      <c r="E131" t="s">
        <v>75</v>
      </c>
      <c r="F131">
        <v>5</v>
      </c>
      <c r="G131">
        <v>3</v>
      </c>
      <c r="H131">
        <v>3</v>
      </c>
      <c r="I131">
        <v>4</v>
      </c>
      <c r="J131" s="10" t="s">
        <v>105</v>
      </c>
    </row>
    <row r="132" spans="1:10" ht="28.8" x14ac:dyDescent="0.3">
      <c r="A132" t="s">
        <v>244</v>
      </c>
      <c r="B132" t="s">
        <v>78</v>
      </c>
      <c r="C132" t="s">
        <v>79</v>
      </c>
      <c r="D132" s="9">
        <v>45951</v>
      </c>
      <c r="E132" t="s">
        <v>86</v>
      </c>
      <c r="F132">
        <v>3</v>
      </c>
      <c r="G132">
        <v>2</v>
      </c>
      <c r="H132">
        <v>3</v>
      </c>
      <c r="I132">
        <v>3</v>
      </c>
      <c r="J132" s="10" t="s">
        <v>129</v>
      </c>
    </row>
    <row r="133" spans="1:10" ht="14.4" x14ac:dyDescent="0.3">
      <c r="A133" t="s">
        <v>245</v>
      </c>
      <c r="B133" t="s">
        <v>89</v>
      </c>
      <c r="C133" t="s">
        <v>74</v>
      </c>
      <c r="D133" s="9">
        <v>46050</v>
      </c>
      <c r="E133" t="s">
        <v>86</v>
      </c>
      <c r="F133">
        <v>4</v>
      </c>
      <c r="G133">
        <v>3</v>
      </c>
      <c r="H133">
        <v>5</v>
      </c>
      <c r="I133">
        <v>3</v>
      </c>
      <c r="J133" s="10" t="s">
        <v>191</v>
      </c>
    </row>
    <row r="134" spans="1:10" ht="14.4" x14ac:dyDescent="0.3">
      <c r="A134" t="s">
        <v>246</v>
      </c>
      <c r="B134" t="s">
        <v>78</v>
      </c>
      <c r="C134" t="s">
        <v>79</v>
      </c>
      <c r="D134" s="9">
        <v>45911</v>
      </c>
      <c r="E134" t="s">
        <v>86</v>
      </c>
      <c r="F134">
        <v>5</v>
      </c>
      <c r="G134">
        <v>4</v>
      </c>
      <c r="H134">
        <v>4</v>
      </c>
      <c r="I134">
        <v>3</v>
      </c>
      <c r="J134" s="10" t="s">
        <v>107</v>
      </c>
    </row>
    <row r="135" spans="1:10" ht="14.4" x14ac:dyDescent="0.3">
      <c r="A135" t="s">
        <v>247</v>
      </c>
      <c r="B135" t="s">
        <v>89</v>
      </c>
      <c r="C135" t="s">
        <v>74</v>
      </c>
      <c r="D135" s="9">
        <v>46016</v>
      </c>
      <c r="E135" t="s">
        <v>75</v>
      </c>
      <c r="F135">
        <v>4</v>
      </c>
      <c r="G135">
        <v>4</v>
      </c>
      <c r="H135">
        <v>4</v>
      </c>
      <c r="I135">
        <v>4</v>
      </c>
      <c r="J135" s="10" t="s">
        <v>124</v>
      </c>
    </row>
    <row r="136" spans="1:10" ht="14.4" x14ac:dyDescent="0.3">
      <c r="A136" t="s">
        <v>248</v>
      </c>
      <c r="B136" t="s">
        <v>82</v>
      </c>
      <c r="C136" t="s">
        <v>96</v>
      </c>
      <c r="D136" s="9">
        <v>45845</v>
      </c>
      <c r="E136" t="s">
        <v>86</v>
      </c>
      <c r="F136">
        <v>4</v>
      </c>
      <c r="G136">
        <v>4</v>
      </c>
      <c r="H136">
        <v>4</v>
      </c>
      <c r="I136">
        <v>3</v>
      </c>
      <c r="J136" s="10" t="s">
        <v>90</v>
      </c>
    </row>
    <row r="137" spans="1:10" ht="14.4" x14ac:dyDescent="0.3">
      <c r="A137" t="s">
        <v>249</v>
      </c>
      <c r="B137" t="s">
        <v>82</v>
      </c>
      <c r="C137" t="s">
        <v>96</v>
      </c>
      <c r="D137" s="9">
        <v>45993</v>
      </c>
      <c r="E137" t="s">
        <v>86</v>
      </c>
      <c r="F137">
        <v>3</v>
      </c>
      <c r="G137">
        <v>5</v>
      </c>
      <c r="H137">
        <v>5</v>
      </c>
      <c r="I137">
        <v>5</v>
      </c>
      <c r="J137" s="10" t="s">
        <v>87</v>
      </c>
    </row>
    <row r="138" spans="1:10" ht="28.8" x14ac:dyDescent="0.3">
      <c r="A138" t="s">
        <v>250</v>
      </c>
      <c r="B138" t="s">
        <v>89</v>
      </c>
      <c r="C138" t="s">
        <v>79</v>
      </c>
      <c r="D138" s="9">
        <v>45834</v>
      </c>
      <c r="E138" t="s">
        <v>75</v>
      </c>
      <c r="F138">
        <v>3</v>
      </c>
      <c r="G138">
        <v>2</v>
      </c>
      <c r="H138">
        <v>3</v>
      </c>
      <c r="I138">
        <v>4</v>
      </c>
      <c r="J138" s="10" t="s">
        <v>92</v>
      </c>
    </row>
    <row r="139" spans="1:10" ht="14.4" x14ac:dyDescent="0.3">
      <c r="A139" t="s">
        <v>251</v>
      </c>
      <c r="B139" t="s">
        <v>73</v>
      </c>
      <c r="C139" t="s">
        <v>79</v>
      </c>
      <c r="D139" s="9">
        <v>45903</v>
      </c>
      <c r="E139" t="s">
        <v>86</v>
      </c>
      <c r="F139">
        <v>4</v>
      </c>
      <c r="G139">
        <v>4</v>
      </c>
      <c r="H139">
        <v>4</v>
      </c>
      <c r="I139">
        <v>4</v>
      </c>
      <c r="J139" s="10" t="s">
        <v>94</v>
      </c>
    </row>
    <row r="140" spans="1:10" ht="14.4" x14ac:dyDescent="0.3">
      <c r="A140" t="s">
        <v>252</v>
      </c>
      <c r="B140" t="s">
        <v>112</v>
      </c>
      <c r="C140" t="s">
        <v>79</v>
      </c>
      <c r="D140" s="9">
        <v>45961</v>
      </c>
      <c r="E140" t="s">
        <v>86</v>
      </c>
      <c r="F140">
        <v>4</v>
      </c>
      <c r="G140">
        <v>4</v>
      </c>
      <c r="H140">
        <v>2</v>
      </c>
      <c r="I140">
        <v>4</v>
      </c>
      <c r="J140" s="10" t="s">
        <v>107</v>
      </c>
    </row>
    <row r="141" spans="1:10" ht="14.4" x14ac:dyDescent="0.3">
      <c r="A141" t="s">
        <v>253</v>
      </c>
      <c r="B141" t="s">
        <v>78</v>
      </c>
      <c r="C141" t="s">
        <v>79</v>
      </c>
      <c r="D141" s="9">
        <v>45980</v>
      </c>
      <c r="E141" t="s">
        <v>86</v>
      </c>
      <c r="F141">
        <v>5</v>
      </c>
      <c r="G141">
        <v>5</v>
      </c>
      <c r="H141">
        <v>2</v>
      </c>
      <c r="I141">
        <v>4</v>
      </c>
      <c r="J141" s="10" t="s">
        <v>99</v>
      </c>
    </row>
    <row r="142" spans="1:10" ht="14.4" x14ac:dyDescent="0.3">
      <c r="A142" t="s">
        <v>254</v>
      </c>
      <c r="B142" t="s">
        <v>85</v>
      </c>
      <c r="C142" t="s">
        <v>96</v>
      </c>
      <c r="D142" s="9">
        <v>45973</v>
      </c>
      <c r="E142" t="s">
        <v>75</v>
      </c>
      <c r="F142">
        <v>4</v>
      </c>
      <c r="G142">
        <v>4</v>
      </c>
      <c r="H142">
        <v>5</v>
      </c>
      <c r="I142">
        <v>4</v>
      </c>
      <c r="J142" s="10" t="s">
        <v>99</v>
      </c>
    </row>
    <row r="143" spans="1:10" ht="14.4" x14ac:dyDescent="0.3">
      <c r="A143" t="s">
        <v>255</v>
      </c>
      <c r="B143" t="s">
        <v>85</v>
      </c>
      <c r="C143" t="s">
        <v>79</v>
      </c>
      <c r="D143" s="9">
        <v>45981</v>
      </c>
      <c r="E143" t="s">
        <v>86</v>
      </c>
      <c r="F143">
        <v>3</v>
      </c>
      <c r="G143">
        <v>2</v>
      </c>
      <c r="H143">
        <v>4</v>
      </c>
      <c r="I143">
        <v>4</v>
      </c>
      <c r="J143" s="10" t="s">
        <v>90</v>
      </c>
    </row>
    <row r="144" spans="1:10" ht="28.8" x14ac:dyDescent="0.3">
      <c r="A144" t="s">
        <v>256</v>
      </c>
      <c r="B144" t="s">
        <v>82</v>
      </c>
      <c r="C144" t="s">
        <v>79</v>
      </c>
      <c r="D144" s="9">
        <v>45962</v>
      </c>
      <c r="E144" t="s">
        <v>75</v>
      </c>
      <c r="F144">
        <v>3</v>
      </c>
      <c r="G144">
        <v>4</v>
      </c>
      <c r="H144">
        <v>3</v>
      </c>
      <c r="I144">
        <v>4</v>
      </c>
      <c r="J144" s="10" t="s">
        <v>199</v>
      </c>
    </row>
    <row r="145" spans="1:10" ht="14.4" x14ac:dyDescent="0.3">
      <c r="A145" t="s">
        <v>257</v>
      </c>
      <c r="B145" t="s">
        <v>112</v>
      </c>
      <c r="C145" t="s">
        <v>79</v>
      </c>
      <c r="D145" s="9">
        <v>46023</v>
      </c>
      <c r="E145" t="s">
        <v>75</v>
      </c>
      <c r="F145">
        <v>5</v>
      </c>
      <c r="G145">
        <v>4</v>
      </c>
      <c r="H145">
        <v>3</v>
      </c>
      <c r="I145">
        <v>4</v>
      </c>
      <c r="J145" s="10" t="s">
        <v>87</v>
      </c>
    </row>
    <row r="146" spans="1:10" ht="14.4" x14ac:dyDescent="0.3">
      <c r="A146" t="s">
        <v>258</v>
      </c>
      <c r="B146" t="s">
        <v>78</v>
      </c>
      <c r="C146" t="s">
        <v>79</v>
      </c>
      <c r="D146" s="9">
        <v>45968</v>
      </c>
      <c r="E146" t="s">
        <v>86</v>
      </c>
      <c r="F146">
        <v>4</v>
      </c>
      <c r="G146">
        <v>5</v>
      </c>
      <c r="H146">
        <v>5</v>
      </c>
      <c r="I146">
        <v>4</v>
      </c>
      <c r="J146" s="10" t="s">
        <v>94</v>
      </c>
    </row>
    <row r="147" spans="1:10" ht="14.4" x14ac:dyDescent="0.3">
      <c r="A147" t="s">
        <v>259</v>
      </c>
      <c r="B147" t="s">
        <v>89</v>
      </c>
      <c r="C147" t="s">
        <v>74</v>
      </c>
      <c r="D147" s="9">
        <v>45962</v>
      </c>
      <c r="E147" t="s">
        <v>86</v>
      </c>
      <c r="F147">
        <v>3</v>
      </c>
      <c r="G147">
        <v>4</v>
      </c>
      <c r="H147">
        <v>4</v>
      </c>
      <c r="I147">
        <v>3</v>
      </c>
      <c r="J147" s="10" t="s">
        <v>94</v>
      </c>
    </row>
    <row r="148" spans="1:10" ht="14.4" x14ac:dyDescent="0.3">
      <c r="A148" t="s">
        <v>260</v>
      </c>
      <c r="B148" t="s">
        <v>89</v>
      </c>
      <c r="C148" t="s">
        <v>74</v>
      </c>
      <c r="D148" s="9">
        <v>45835</v>
      </c>
      <c r="E148" t="s">
        <v>75</v>
      </c>
      <c r="F148">
        <v>4</v>
      </c>
      <c r="G148">
        <v>4</v>
      </c>
      <c r="H148">
        <v>4</v>
      </c>
      <c r="I148">
        <v>4</v>
      </c>
      <c r="J148" s="10" t="s">
        <v>80</v>
      </c>
    </row>
    <row r="149" spans="1:10" ht="14.4" x14ac:dyDescent="0.3">
      <c r="A149" t="s">
        <v>261</v>
      </c>
      <c r="B149" t="s">
        <v>82</v>
      </c>
      <c r="C149" t="s">
        <v>96</v>
      </c>
      <c r="D149" s="9">
        <v>46023</v>
      </c>
      <c r="E149" t="s">
        <v>86</v>
      </c>
      <c r="F149">
        <v>4</v>
      </c>
      <c r="G149">
        <v>5</v>
      </c>
      <c r="H149">
        <v>5</v>
      </c>
      <c r="I149">
        <v>5</v>
      </c>
      <c r="J149" s="10" t="s">
        <v>76</v>
      </c>
    </row>
    <row r="150" spans="1:10" ht="14.4" x14ac:dyDescent="0.3">
      <c r="A150" t="s">
        <v>262</v>
      </c>
      <c r="B150" t="s">
        <v>78</v>
      </c>
      <c r="C150" t="s">
        <v>74</v>
      </c>
      <c r="D150" s="9">
        <v>46029</v>
      </c>
      <c r="E150" t="s">
        <v>75</v>
      </c>
      <c r="F150">
        <v>2</v>
      </c>
      <c r="G150">
        <v>3</v>
      </c>
      <c r="H150">
        <v>3</v>
      </c>
      <c r="I150">
        <v>3</v>
      </c>
      <c r="J150" s="10" t="s">
        <v>101</v>
      </c>
    </row>
    <row r="151" spans="1:10" ht="28.8" x14ac:dyDescent="0.3">
      <c r="A151" t="s">
        <v>263</v>
      </c>
      <c r="B151" t="s">
        <v>82</v>
      </c>
      <c r="C151" t="s">
        <v>74</v>
      </c>
      <c r="D151" s="9">
        <v>45859</v>
      </c>
      <c r="E151" t="s">
        <v>75</v>
      </c>
      <c r="F151">
        <v>3</v>
      </c>
      <c r="G151">
        <v>4</v>
      </c>
      <c r="H151">
        <v>2</v>
      </c>
      <c r="I151">
        <v>4</v>
      </c>
      <c r="J151" s="10" t="s">
        <v>264</v>
      </c>
    </row>
    <row r="152" spans="1:10" ht="14.4" x14ac:dyDescent="0.3">
      <c r="A152" t="s">
        <v>265</v>
      </c>
      <c r="B152" t="s">
        <v>89</v>
      </c>
      <c r="C152" t="s">
        <v>74</v>
      </c>
      <c r="D152" s="9">
        <v>46001</v>
      </c>
      <c r="E152" t="s">
        <v>75</v>
      </c>
      <c r="F152">
        <v>4</v>
      </c>
      <c r="G152">
        <v>4</v>
      </c>
      <c r="H152">
        <v>5</v>
      </c>
      <c r="I152">
        <v>4</v>
      </c>
      <c r="J152" s="10" t="s">
        <v>124</v>
      </c>
    </row>
    <row r="153" spans="1:10" ht="14.4" x14ac:dyDescent="0.3">
      <c r="A153" t="s">
        <v>266</v>
      </c>
      <c r="B153" t="s">
        <v>112</v>
      </c>
      <c r="C153" t="s">
        <v>74</v>
      </c>
      <c r="D153" s="9">
        <v>45818</v>
      </c>
      <c r="E153" t="s">
        <v>86</v>
      </c>
      <c r="F153">
        <v>4</v>
      </c>
      <c r="G153">
        <v>4</v>
      </c>
      <c r="H153">
        <v>5</v>
      </c>
      <c r="I153">
        <v>3</v>
      </c>
      <c r="J153" s="10" t="s">
        <v>87</v>
      </c>
    </row>
    <row r="154" spans="1:10" ht="14.4" x14ac:dyDescent="0.3">
      <c r="A154" t="s">
        <v>267</v>
      </c>
      <c r="B154" t="s">
        <v>89</v>
      </c>
      <c r="C154" t="s">
        <v>74</v>
      </c>
      <c r="D154" s="9">
        <v>46008</v>
      </c>
      <c r="E154" t="s">
        <v>86</v>
      </c>
      <c r="F154">
        <v>3</v>
      </c>
      <c r="G154">
        <v>3</v>
      </c>
      <c r="H154">
        <v>3</v>
      </c>
      <c r="I154">
        <v>3</v>
      </c>
      <c r="J154" s="10" t="s">
        <v>83</v>
      </c>
    </row>
    <row r="155" spans="1:10" ht="14.4" x14ac:dyDescent="0.3">
      <c r="A155" t="s">
        <v>268</v>
      </c>
      <c r="B155" t="s">
        <v>89</v>
      </c>
      <c r="C155" t="s">
        <v>74</v>
      </c>
      <c r="D155" s="9">
        <v>45920</v>
      </c>
      <c r="E155" t="s">
        <v>75</v>
      </c>
      <c r="F155">
        <v>4</v>
      </c>
      <c r="G155">
        <v>5</v>
      </c>
      <c r="H155">
        <v>4</v>
      </c>
      <c r="I155">
        <v>5</v>
      </c>
      <c r="J155" s="10" t="s">
        <v>124</v>
      </c>
    </row>
    <row r="156" spans="1:10" ht="28.8" x14ac:dyDescent="0.3">
      <c r="A156" t="s">
        <v>269</v>
      </c>
      <c r="B156" t="s">
        <v>78</v>
      </c>
      <c r="C156" t="s">
        <v>96</v>
      </c>
      <c r="D156" s="9">
        <v>45928</v>
      </c>
      <c r="E156" t="s">
        <v>75</v>
      </c>
      <c r="F156">
        <v>3</v>
      </c>
      <c r="G156">
        <v>4</v>
      </c>
      <c r="H156">
        <v>4</v>
      </c>
      <c r="I156">
        <v>5</v>
      </c>
      <c r="J156" s="10" t="s">
        <v>103</v>
      </c>
    </row>
    <row r="157" spans="1:10" ht="28.8" x14ac:dyDescent="0.3">
      <c r="A157" t="s">
        <v>270</v>
      </c>
      <c r="B157" t="s">
        <v>89</v>
      </c>
      <c r="C157" t="s">
        <v>79</v>
      </c>
      <c r="D157" s="9">
        <v>45821</v>
      </c>
      <c r="E157" t="s">
        <v>75</v>
      </c>
      <c r="F157">
        <v>4</v>
      </c>
      <c r="G157">
        <v>5</v>
      </c>
      <c r="H157">
        <v>4</v>
      </c>
      <c r="I157">
        <v>4</v>
      </c>
      <c r="J157" s="10" t="s">
        <v>141</v>
      </c>
    </row>
    <row r="158" spans="1:10" ht="28.8" x14ac:dyDescent="0.3">
      <c r="A158" t="s">
        <v>271</v>
      </c>
      <c r="B158" t="s">
        <v>82</v>
      </c>
      <c r="C158" t="s">
        <v>96</v>
      </c>
      <c r="D158" s="9">
        <v>45950</v>
      </c>
      <c r="E158" t="s">
        <v>86</v>
      </c>
      <c r="F158">
        <v>3</v>
      </c>
      <c r="G158">
        <v>3</v>
      </c>
      <c r="H158">
        <v>3</v>
      </c>
      <c r="I158">
        <v>3</v>
      </c>
      <c r="J158" s="10" t="s">
        <v>120</v>
      </c>
    </row>
    <row r="159" spans="1:10" ht="14.4" x14ac:dyDescent="0.3">
      <c r="A159" t="s">
        <v>272</v>
      </c>
      <c r="B159" t="s">
        <v>85</v>
      </c>
      <c r="C159" t="s">
        <v>79</v>
      </c>
      <c r="D159" s="9">
        <v>45838</v>
      </c>
      <c r="E159" t="s">
        <v>86</v>
      </c>
      <c r="F159">
        <v>3</v>
      </c>
      <c r="G159">
        <v>5</v>
      </c>
      <c r="H159">
        <v>4</v>
      </c>
      <c r="I159">
        <v>4</v>
      </c>
      <c r="J159" s="10" t="s">
        <v>94</v>
      </c>
    </row>
    <row r="160" spans="1:10" ht="28.8" x14ac:dyDescent="0.3">
      <c r="A160" t="s">
        <v>273</v>
      </c>
      <c r="B160" t="s">
        <v>78</v>
      </c>
      <c r="C160" t="s">
        <v>74</v>
      </c>
      <c r="D160" s="9">
        <v>45968</v>
      </c>
      <c r="E160" t="s">
        <v>86</v>
      </c>
      <c r="F160">
        <v>5</v>
      </c>
      <c r="G160">
        <v>4</v>
      </c>
      <c r="H160">
        <v>5</v>
      </c>
      <c r="I160">
        <v>3</v>
      </c>
      <c r="J160" s="10" t="s">
        <v>118</v>
      </c>
    </row>
    <row r="161" spans="1:10" ht="14.4" x14ac:dyDescent="0.3">
      <c r="A161" t="s">
        <v>274</v>
      </c>
      <c r="B161" t="s">
        <v>85</v>
      </c>
      <c r="C161" t="s">
        <v>96</v>
      </c>
      <c r="D161" s="9">
        <v>46036</v>
      </c>
      <c r="E161" t="s">
        <v>86</v>
      </c>
      <c r="F161">
        <v>5</v>
      </c>
      <c r="G161">
        <v>4</v>
      </c>
      <c r="H161">
        <v>5</v>
      </c>
      <c r="I161">
        <v>4</v>
      </c>
      <c r="J161" s="10" t="s">
        <v>90</v>
      </c>
    </row>
    <row r="162" spans="1:10" ht="14.4" x14ac:dyDescent="0.3">
      <c r="A162" t="s">
        <v>275</v>
      </c>
      <c r="B162" t="s">
        <v>89</v>
      </c>
      <c r="C162" t="s">
        <v>79</v>
      </c>
      <c r="D162" s="9">
        <v>45828</v>
      </c>
      <c r="E162" t="s">
        <v>86</v>
      </c>
      <c r="F162">
        <v>3</v>
      </c>
      <c r="G162">
        <v>4</v>
      </c>
      <c r="H162">
        <v>3</v>
      </c>
      <c r="I162">
        <v>2</v>
      </c>
      <c r="J162" s="10" t="s">
        <v>83</v>
      </c>
    </row>
    <row r="163" spans="1:10" ht="14.4" x14ac:dyDescent="0.3">
      <c r="A163" t="s">
        <v>276</v>
      </c>
      <c r="B163" t="s">
        <v>73</v>
      </c>
      <c r="C163" t="s">
        <v>96</v>
      </c>
      <c r="D163" s="9">
        <v>45898</v>
      </c>
      <c r="E163" t="s">
        <v>75</v>
      </c>
      <c r="F163">
        <v>3</v>
      </c>
      <c r="G163">
        <v>5</v>
      </c>
      <c r="H163">
        <v>5</v>
      </c>
      <c r="I163">
        <v>4</v>
      </c>
      <c r="J163" s="10" t="s">
        <v>87</v>
      </c>
    </row>
    <row r="164" spans="1:10" ht="14.4" x14ac:dyDescent="0.3">
      <c r="A164" t="s">
        <v>277</v>
      </c>
      <c r="B164" t="s">
        <v>112</v>
      </c>
      <c r="C164" t="s">
        <v>79</v>
      </c>
      <c r="D164" s="9">
        <v>46000</v>
      </c>
      <c r="E164" t="s">
        <v>86</v>
      </c>
      <c r="F164">
        <v>3</v>
      </c>
      <c r="G164">
        <v>2</v>
      </c>
      <c r="H164">
        <v>3</v>
      </c>
      <c r="I164">
        <v>3</v>
      </c>
      <c r="J164" s="10" t="s">
        <v>83</v>
      </c>
    </row>
    <row r="165" spans="1:10" ht="28.8" x14ac:dyDescent="0.3">
      <c r="A165" t="s">
        <v>278</v>
      </c>
      <c r="B165" t="s">
        <v>73</v>
      </c>
      <c r="C165" t="s">
        <v>96</v>
      </c>
      <c r="D165" s="9">
        <v>45948</v>
      </c>
      <c r="E165" t="s">
        <v>75</v>
      </c>
      <c r="F165">
        <v>4</v>
      </c>
      <c r="G165">
        <v>3</v>
      </c>
      <c r="H165">
        <v>2</v>
      </c>
      <c r="I165">
        <v>3</v>
      </c>
      <c r="J165" s="10" t="s">
        <v>129</v>
      </c>
    </row>
    <row r="166" spans="1:10" ht="28.8" x14ac:dyDescent="0.3">
      <c r="A166" t="s">
        <v>279</v>
      </c>
      <c r="B166" t="s">
        <v>82</v>
      </c>
      <c r="C166" t="s">
        <v>96</v>
      </c>
      <c r="D166" s="9">
        <v>46029</v>
      </c>
      <c r="E166" t="s">
        <v>86</v>
      </c>
      <c r="F166">
        <v>4</v>
      </c>
      <c r="G166">
        <v>3</v>
      </c>
      <c r="H166">
        <v>5</v>
      </c>
      <c r="I166">
        <v>4</v>
      </c>
      <c r="J166" s="10" t="s">
        <v>141</v>
      </c>
    </row>
    <row r="167" spans="1:10" ht="14.4" x14ac:dyDescent="0.3">
      <c r="A167" t="s">
        <v>280</v>
      </c>
      <c r="B167" t="s">
        <v>89</v>
      </c>
      <c r="C167" t="s">
        <v>96</v>
      </c>
      <c r="D167" s="9">
        <v>45861</v>
      </c>
      <c r="E167" t="s">
        <v>75</v>
      </c>
      <c r="F167">
        <v>5</v>
      </c>
      <c r="G167">
        <v>5</v>
      </c>
      <c r="H167">
        <v>4</v>
      </c>
      <c r="I167">
        <v>3</v>
      </c>
      <c r="J167" s="10" t="s">
        <v>94</v>
      </c>
    </row>
    <row r="168" spans="1:10" ht="28.8" x14ac:dyDescent="0.3">
      <c r="A168" t="s">
        <v>281</v>
      </c>
      <c r="B168" t="s">
        <v>85</v>
      </c>
      <c r="C168" t="s">
        <v>74</v>
      </c>
      <c r="D168" s="9">
        <v>45841</v>
      </c>
      <c r="E168" t="s">
        <v>86</v>
      </c>
      <c r="F168">
        <v>2</v>
      </c>
      <c r="G168">
        <v>3</v>
      </c>
      <c r="H168">
        <v>4</v>
      </c>
      <c r="I168">
        <v>3</v>
      </c>
      <c r="J168" s="10" t="s">
        <v>135</v>
      </c>
    </row>
    <row r="169" spans="1:10" ht="14.4" x14ac:dyDescent="0.3">
      <c r="A169" t="s">
        <v>282</v>
      </c>
      <c r="B169" t="s">
        <v>85</v>
      </c>
      <c r="C169" t="s">
        <v>74</v>
      </c>
      <c r="D169" s="9">
        <v>45879</v>
      </c>
      <c r="E169" t="s">
        <v>75</v>
      </c>
      <c r="F169">
        <v>4</v>
      </c>
      <c r="G169">
        <v>4</v>
      </c>
      <c r="H169">
        <v>4</v>
      </c>
      <c r="I169">
        <v>4</v>
      </c>
      <c r="J169" s="10" t="s">
        <v>191</v>
      </c>
    </row>
    <row r="170" spans="1:10" ht="28.8" x14ac:dyDescent="0.3">
      <c r="A170" t="s">
        <v>283</v>
      </c>
      <c r="B170" t="s">
        <v>82</v>
      </c>
      <c r="C170" t="s">
        <v>96</v>
      </c>
      <c r="D170" s="9">
        <v>45822</v>
      </c>
      <c r="E170" t="s">
        <v>75</v>
      </c>
      <c r="F170">
        <v>3</v>
      </c>
      <c r="G170">
        <v>3</v>
      </c>
      <c r="H170">
        <v>3</v>
      </c>
      <c r="I170">
        <v>4</v>
      </c>
      <c r="J170" s="10" t="s">
        <v>115</v>
      </c>
    </row>
    <row r="171" spans="1:10" ht="28.8" x14ac:dyDescent="0.3">
      <c r="A171" t="s">
        <v>284</v>
      </c>
      <c r="B171" t="s">
        <v>82</v>
      </c>
      <c r="C171" t="s">
        <v>79</v>
      </c>
      <c r="D171" s="9">
        <v>46031</v>
      </c>
      <c r="E171" t="s">
        <v>75</v>
      </c>
      <c r="F171">
        <v>5</v>
      </c>
      <c r="G171">
        <v>3</v>
      </c>
      <c r="H171">
        <v>3</v>
      </c>
      <c r="I171">
        <v>2</v>
      </c>
      <c r="J171" s="10" t="s">
        <v>157</v>
      </c>
    </row>
    <row r="172" spans="1:10" ht="28.8" x14ac:dyDescent="0.3">
      <c r="A172" t="s">
        <v>285</v>
      </c>
      <c r="B172" t="s">
        <v>85</v>
      </c>
      <c r="C172" t="s">
        <v>96</v>
      </c>
      <c r="D172" s="9">
        <v>45983</v>
      </c>
      <c r="E172" t="s">
        <v>86</v>
      </c>
      <c r="F172">
        <v>2</v>
      </c>
      <c r="G172">
        <v>3</v>
      </c>
      <c r="H172">
        <v>4</v>
      </c>
      <c r="I172">
        <v>3</v>
      </c>
      <c r="J172" s="10" t="s">
        <v>135</v>
      </c>
    </row>
    <row r="173" spans="1:10" ht="14.4" x14ac:dyDescent="0.3">
      <c r="A173" t="s">
        <v>286</v>
      </c>
      <c r="B173" t="s">
        <v>73</v>
      </c>
      <c r="C173" t="s">
        <v>96</v>
      </c>
      <c r="D173" s="9">
        <v>45949</v>
      </c>
      <c r="E173" t="s">
        <v>86</v>
      </c>
      <c r="F173">
        <v>4</v>
      </c>
      <c r="G173">
        <v>3</v>
      </c>
      <c r="H173">
        <v>4</v>
      </c>
      <c r="I173">
        <v>3</v>
      </c>
      <c r="J173" s="10" t="s">
        <v>101</v>
      </c>
    </row>
    <row r="174" spans="1:10" ht="28.8" x14ac:dyDescent="0.3">
      <c r="A174" t="s">
        <v>287</v>
      </c>
      <c r="B174" t="s">
        <v>73</v>
      </c>
      <c r="C174" t="s">
        <v>79</v>
      </c>
      <c r="D174" s="9">
        <v>45929</v>
      </c>
      <c r="E174" t="s">
        <v>75</v>
      </c>
      <c r="F174">
        <v>4</v>
      </c>
      <c r="G174">
        <v>4</v>
      </c>
      <c r="H174">
        <v>4</v>
      </c>
      <c r="I174">
        <v>4</v>
      </c>
      <c r="J174" s="10" t="s">
        <v>103</v>
      </c>
    </row>
    <row r="175" spans="1:10" ht="14.4" x14ac:dyDescent="0.3">
      <c r="A175" t="s">
        <v>288</v>
      </c>
      <c r="B175" t="s">
        <v>73</v>
      </c>
      <c r="C175" t="s">
        <v>74</v>
      </c>
      <c r="D175" s="9">
        <v>45975</v>
      </c>
      <c r="E175" t="s">
        <v>75</v>
      </c>
      <c r="F175">
        <v>4</v>
      </c>
      <c r="G175">
        <v>3</v>
      </c>
      <c r="H175">
        <v>3</v>
      </c>
      <c r="I175">
        <v>4</v>
      </c>
      <c r="J175" s="10" t="s">
        <v>80</v>
      </c>
    </row>
    <row r="176" spans="1:10" ht="14.4" x14ac:dyDescent="0.3">
      <c r="A176" t="s">
        <v>289</v>
      </c>
      <c r="B176" t="s">
        <v>89</v>
      </c>
      <c r="C176" t="s">
        <v>79</v>
      </c>
      <c r="D176" s="9">
        <v>46013</v>
      </c>
      <c r="E176" t="s">
        <v>86</v>
      </c>
      <c r="F176">
        <v>2</v>
      </c>
      <c r="G176">
        <v>2</v>
      </c>
      <c r="H176">
        <v>3</v>
      </c>
      <c r="I176">
        <v>3</v>
      </c>
      <c r="J176" s="10" t="s">
        <v>83</v>
      </c>
    </row>
    <row r="177" spans="1:10" ht="28.8" x14ac:dyDescent="0.3">
      <c r="A177" t="s">
        <v>290</v>
      </c>
      <c r="B177" t="s">
        <v>82</v>
      </c>
      <c r="C177" t="s">
        <v>79</v>
      </c>
      <c r="D177" s="9">
        <v>45928</v>
      </c>
      <c r="E177" t="s">
        <v>75</v>
      </c>
      <c r="F177">
        <v>4</v>
      </c>
      <c r="G177">
        <v>2</v>
      </c>
      <c r="H177">
        <v>3</v>
      </c>
      <c r="I177">
        <v>3</v>
      </c>
      <c r="J177" s="10" t="s">
        <v>157</v>
      </c>
    </row>
    <row r="178" spans="1:10" ht="14.4" x14ac:dyDescent="0.3">
      <c r="A178" t="s">
        <v>291</v>
      </c>
      <c r="B178" t="s">
        <v>89</v>
      </c>
      <c r="C178" t="s">
        <v>74</v>
      </c>
      <c r="D178" s="9">
        <v>45825</v>
      </c>
      <c r="E178" t="s">
        <v>75</v>
      </c>
      <c r="F178">
        <v>4</v>
      </c>
      <c r="G178">
        <v>4</v>
      </c>
      <c r="H178">
        <v>5</v>
      </c>
      <c r="I178">
        <v>4</v>
      </c>
      <c r="J178" s="10" t="s">
        <v>90</v>
      </c>
    </row>
    <row r="179" spans="1:10" ht="14.4" x14ac:dyDescent="0.3">
      <c r="A179" t="s">
        <v>292</v>
      </c>
      <c r="B179" t="s">
        <v>85</v>
      </c>
      <c r="C179" t="s">
        <v>79</v>
      </c>
      <c r="D179" s="9">
        <v>45856</v>
      </c>
      <c r="E179" t="s">
        <v>86</v>
      </c>
      <c r="F179">
        <v>3</v>
      </c>
      <c r="G179">
        <v>3</v>
      </c>
      <c r="H179">
        <v>3</v>
      </c>
      <c r="I179">
        <v>4</v>
      </c>
      <c r="J179" s="10" t="s">
        <v>105</v>
      </c>
    </row>
    <row r="180" spans="1:10" ht="14.4" x14ac:dyDescent="0.3">
      <c r="A180" t="s">
        <v>293</v>
      </c>
      <c r="B180" t="s">
        <v>82</v>
      </c>
      <c r="C180" t="s">
        <v>74</v>
      </c>
      <c r="D180" s="9">
        <v>45830</v>
      </c>
      <c r="E180" t="s">
        <v>86</v>
      </c>
      <c r="F180">
        <v>3</v>
      </c>
      <c r="G180">
        <v>3</v>
      </c>
      <c r="H180">
        <v>3</v>
      </c>
      <c r="I180">
        <v>3</v>
      </c>
      <c r="J180" s="10" t="s">
        <v>110</v>
      </c>
    </row>
    <row r="181" spans="1:10" ht="28.8" x14ac:dyDescent="0.3">
      <c r="A181" t="s">
        <v>294</v>
      </c>
      <c r="B181" t="s">
        <v>73</v>
      </c>
      <c r="C181" t="s">
        <v>74</v>
      </c>
      <c r="D181" s="9">
        <v>45991</v>
      </c>
      <c r="E181" t="s">
        <v>86</v>
      </c>
      <c r="F181">
        <v>3</v>
      </c>
      <c r="G181">
        <v>4</v>
      </c>
      <c r="H181">
        <v>2</v>
      </c>
      <c r="I181">
        <v>2</v>
      </c>
      <c r="J181" s="10" t="s">
        <v>196</v>
      </c>
    </row>
    <row r="182" spans="1:10" ht="14.4" x14ac:dyDescent="0.3">
      <c r="A182" t="s">
        <v>295</v>
      </c>
      <c r="B182" t="s">
        <v>89</v>
      </c>
      <c r="C182" t="s">
        <v>79</v>
      </c>
      <c r="D182" s="9">
        <v>45906</v>
      </c>
      <c r="E182" t="s">
        <v>86</v>
      </c>
      <c r="F182">
        <v>4</v>
      </c>
      <c r="G182">
        <v>5</v>
      </c>
      <c r="H182">
        <v>5</v>
      </c>
      <c r="I182">
        <v>4</v>
      </c>
      <c r="J182" s="10" t="s">
        <v>124</v>
      </c>
    </row>
    <row r="183" spans="1:10" ht="14.4" x14ac:dyDescent="0.3">
      <c r="A183" t="s">
        <v>296</v>
      </c>
      <c r="B183" t="s">
        <v>73</v>
      </c>
      <c r="C183" t="s">
        <v>74</v>
      </c>
      <c r="D183" s="9">
        <v>46036</v>
      </c>
      <c r="E183" t="s">
        <v>86</v>
      </c>
      <c r="F183">
        <v>4</v>
      </c>
      <c r="G183">
        <v>4</v>
      </c>
      <c r="H183">
        <v>5</v>
      </c>
      <c r="I183">
        <v>5</v>
      </c>
      <c r="J183" s="10" t="s">
        <v>191</v>
      </c>
    </row>
    <row r="184" spans="1:10" ht="28.8" x14ac:dyDescent="0.3">
      <c r="A184" t="s">
        <v>297</v>
      </c>
      <c r="B184" t="s">
        <v>85</v>
      </c>
      <c r="C184" t="s">
        <v>96</v>
      </c>
      <c r="D184" s="9">
        <v>45943</v>
      </c>
      <c r="E184" t="s">
        <v>75</v>
      </c>
      <c r="F184">
        <v>3</v>
      </c>
      <c r="G184">
        <v>2</v>
      </c>
      <c r="H184">
        <v>4</v>
      </c>
      <c r="I184">
        <v>2</v>
      </c>
      <c r="J184" s="10" t="s">
        <v>135</v>
      </c>
    </row>
    <row r="185" spans="1:10" ht="28.8" x14ac:dyDescent="0.3">
      <c r="A185" t="s">
        <v>298</v>
      </c>
      <c r="B185" t="s">
        <v>82</v>
      </c>
      <c r="C185" t="s">
        <v>74</v>
      </c>
      <c r="D185" s="9">
        <v>46044</v>
      </c>
      <c r="E185" t="s">
        <v>86</v>
      </c>
      <c r="F185">
        <v>3</v>
      </c>
      <c r="G185">
        <v>4</v>
      </c>
      <c r="H185">
        <v>4</v>
      </c>
      <c r="I185">
        <v>3</v>
      </c>
      <c r="J185" s="10" t="s">
        <v>237</v>
      </c>
    </row>
    <row r="186" spans="1:10" ht="14.4" x14ac:dyDescent="0.3">
      <c r="A186" t="s">
        <v>299</v>
      </c>
      <c r="B186" t="s">
        <v>82</v>
      </c>
      <c r="C186" t="s">
        <v>74</v>
      </c>
      <c r="D186" s="9">
        <v>45851</v>
      </c>
      <c r="E186" t="s">
        <v>75</v>
      </c>
      <c r="F186">
        <v>3</v>
      </c>
      <c r="G186">
        <v>3</v>
      </c>
      <c r="H186">
        <v>2</v>
      </c>
      <c r="I186">
        <v>2</v>
      </c>
      <c r="J186" s="10" t="s">
        <v>101</v>
      </c>
    </row>
    <row r="187" spans="1:10" ht="14.4" x14ac:dyDescent="0.3">
      <c r="A187" t="s">
        <v>300</v>
      </c>
      <c r="B187" t="s">
        <v>85</v>
      </c>
      <c r="C187" t="s">
        <v>96</v>
      </c>
      <c r="D187" s="9">
        <v>46044</v>
      </c>
      <c r="E187" t="s">
        <v>86</v>
      </c>
      <c r="F187">
        <v>1</v>
      </c>
      <c r="G187">
        <v>2</v>
      </c>
      <c r="H187">
        <v>3</v>
      </c>
      <c r="I187">
        <v>4</v>
      </c>
      <c r="J187" s="10" t="s">
        <v>110</v>
      </c>
    </row>
    <row r="188" spans="1:10" ht="14.4" x14ac:dyDescent="0.3">
      <c r="A188" t="s">
        <v>301</v>
      </c>
      <c r="B188" t="s">
        <v>89</v>
      </c>
      <c r="C188" t="s">
        <v>79</v>
      </c>
      <c r="D188" s="9">
        <v>45877</v>
      </c>
      <c r="E188" t="s">
        <v>86</v>
      </c>
      <c r="F188">
        <v>4</v>
      </c>
      <c r="G188">
        <v>4</v>
      </c>
      <c r="H188">
        <v>5</v>
      </c>
      <c r="I188">
        <v>5</v>
      </c>
      <c r="J188" s="10" t="s">
        <v>124</v>
      </c>
    </row>
    <row r="189" spans="1:10" ht="14.4" x14ac:dyDescent="0.3">
      <c r="A189" t="s">
        <v>302</v>
      </c>
      <c r="B189" t="s">
        <v>112</v>
      </c>
      <c r="C189" t="s">
        <v>96</v>
      </c>
      <c r="D189" s="9">
        <v>45998</v>
      </c>
      <c r="E189" t="s">
        <v>86</v>
      </c>
      <c r="F189">
        <v>5</v>
      </c>
      <c r="G189">
        <v>4</v>
      </c>
      <c r="H189">
        <v>5</v>
      </c>
      <c r="I189">
        <v>5</v>
      </c>
      <c r="J189" s="10" t="s">
        <v>107</v>
      </c>
    </row>
    <row r="190" spans="1:10" ht="14.4" x14ac:dyDescent="0.3">
      <c r="A190" t="s">
        <v>303</v>
      </c>
      <c r="B190" t="s">
        <v>89</v>
      </c>
      <c r="C190" t="s">
        <v>96</v>
      </c>
      <c r="D190" s="9">
        <v>45989</v>
      </c>
      <c r="E190" t="s">
        <v>86</v>
      </c>
      <c r="F190">
        <v>4</v>
      </c>
      <c r="G190">
        <v>3</v>
      </c>
      <c r="H190">
        <v>4</v>
      </c>
      <c r="I190">
        <v>3</v>
      </c>
      <c r="J190" s="10" t="s">
        <v>110</v>
      </c>
    </row>
    <row r="191" spans="1:10" ht="28.8" x14ac:dyDescent="0.3">
      <c r="A191" t="s">
        <v>304</v>
      </c>
      <c r="B191" t="s">
        <v>73</v>
      </c>
      <c r="C191" t="s">
        <v>74</v>
      </c>
      <c r="D191" s="9">
        <v>45968</v>
      </c>
      <c r="E191" t="s">
        <v>86</v>
      </c>
      <c r="F191">
        <v>3</v>
      </c>
      <c r="G191">
        <v>3</v>
      </c>
      <c r="H191">
        <v>3</v>
      </c>
      <c r="I191">
        <v>3</v>
      </c>
      <c r="J191" s="10" t="s">
        <v>129</v>
      </c>
    </row>
    <row r="192" spans="1:10" ht="14.4" x14ac:dyDescent="0.3">
      <c r="A192" t="s">
        <v>305</v>
      </c>
      <c r="B192" t="s">
        <v>85</v>
      </c>
      <c r="C192" t="s">
        <v>74</v>
      </c>
      <c r="D192" s="9">
        <v>45984</v>
      </c>
      <c r="E192" t="s">
        <v>86</v>
      </c>
      <c r="F192">
        <v>5</v>
      </c>
      <c r="G192">
        <v>4</v>
      </c>
      <c r="H192">
        <v>5</v>
      </c>
      <c r="I192">
        <v>3</v>
      </c>
      <c r="J192" s="10" t="s">
        <v>191</v>
      </c>
    </row>
    <row r="193" spans="1:10" ht="14.4" x14ac:dyDescent="0.3">
      <c r="A193" t="s">
        <v>306</v>
      </c>
      <c r="B193" t="s">
        <v>82</v>
      </c>
      <c r="C193" t="s">
        <v>79</v>
      </c>
      <c r="D193" s="9">
        <v>45894</v>
      </c>
      <c r="E193" t="s">
        <v>86</v>
      </c>
      <c r="F193">
        <v>4</v>
      </c>
      <c r="G193">
        <v>2</v>
      </c>
      <c r="H193">
        <v>4</v>
      </c>
      <c r="I193">
        <v>3</v>
      </c>
      <c r="J193" s="10" t="s">
        <v>110</v>
      </c>
    </row>
    <row r="194" spans="1:10" ht="28.8" x14ac:dyDescent="0.3">
      <c r="A194" t="s">
        <v>307</v>
      </c>
      <c r="B194" t="s">
        <v>73</v>
      </c>
      <c r="C194" t="s">
        <v>74</v>
      </c>
      <c r="D194" s="9">
        <v>46003</v>
      </c>
      <c r="E194" t="s">
        <v>75</v>
      </c>
      <c r="F194">
        <v>5</v>
      </c>
      <c r="G194">
        <v>4</v>
      </c>
      <c r="H194">
        <v>3</v>
      </c>
      <c r="I194">
        <v>5</v>
      </c>
      <c r="J194" s="10" t="s">
        <v>126</v>
      </c>
    </row>
    <row r="195" spans="1:10" ht="14.4" x14ac:dyDescent="0.3">
      <c r="A195" t="s">
        <v>308</v>
      </c>
      <c r="B195" t="s">
        <v>73</v>
      </c>
      <c r="C195" t="s">
        <v>74</v>
      </c>
      <c r="D195" s="9">
        <v>45869</v>
      </c>
      <c r="E195" t="s">
        <v>75</v>
      </c>
      <c r="F195">
        <v>5</v>
      </c>
      <c r="G195">
        <v>5</v>
      </c>
      <c r="H195">
        <v>4</v>
      </c>
      <c r="I195">
        <v>4</v>
      </c>
      <c r="J195" s="10" t="s">
        <v>99</v>
      </c>
    </row>
    <row r="196" spans="1:10" ht="28.8" x14ac:dyDescent="0.3">
      <c r="A196" t="s">
        <v>309</v>
      </c>
      <c r="B196" t="s">
        <v>89</v>
      </c>
      <c r="C196" t="s">
        <v>96</v>
      </c>
      <c r="D196" s="9">
        <v>46024</v>
      </c>
      <c r="E196" t="s">
        <v>86</v>
      </c>
      <c r="F196">
        <v>4</v>
      </c>
      <c r="G196">
        <v>2</v>
      </c>
      <c r="H196">
        <v>2</v>
      </c>
      <c r="I196">
        <v>3</v>
      </c>
      <c r="J196" s="10" t="s">
        <v>196</v>
      </c>
    </row>
    <row r="197" spans="1:10" ht="14.4" x14ac:dyDescent="0.3">
      <c r="A197" t="s">
        <v>310</v>
      </c>
      <c r="B197" t="s">
        <v>89</v>
      </c>
      <c r="C197" t="s">
        <v>74</v>
      </c>
      <c r="D197" s="9">
        <v>45884</v>
      </c>
      <c r="E197" t="s">
        <v>75</v>
      </c>
      <c r="F197">
        <v>4</v>
      </c>
      <c r="G197">
        <v>4</v>
      </c>
      <c r="H197">
        <v>4</v>
      </c>
      <c r="I197">
        <v>5</v>
      </c>
      <c r="J197" s="10" t="s">
        <v>90</v>
      </c>
    </row>
    <row r="198" spans="1:10" ht="14.4" x14ac:dyDescent="0.3">
      <c r="A198" t="s">
        <v>311</v>
      </c>
      <c r="B198" t="s">
        <v>78</v>
      </c>
      <c r="C198" t="s">
        <v>96</v>
      </c>
      <c r="D198" s="9">
        <v>45876</v>
      </c>
      <c r="E198" t="s">
        <v>86</v>
      </c>
      <c r="F198">
        <v>3</v>
      </c>
      <c r="G198">
        <v>4</v>
      </c>
      <c r="H198">
        <v>4</v>
      </c>
      <c r="I198">
        <v>3</v>
      </c>
      <c r="J198" s="10" t="s">
        <v>110</v>
      </c>
    </row>
    <row r="199" spans="1:10" ht="14.4" x14ac:dyDescent="0.3">
      <c r="A199" t="s">
        <v>312</v>
      </c>
      <c r="B199" t="s">
        <v>73</v>
      </c>
      <c r="C199" t="s">
        <v>74</v>
      </c>
      <c r="D199" s="9">
        <v>45892</v>
      </c>
      <c r="E199" t="s">
        <v>75</v>
      </c>
      <c r="F199">
        <v>5</v>
      </c>
      <c r="G199">
        <v>4</v>
      </c>
      <c r="H199">
        <v>4</v>
      </c>
      <c r="I199">
        <v>4</v>
      </c>
      <c r="J199" s="10" t="s">
        <v>90</v>
      </c>
    </row>
    <row r="200" spans="1:10" ht="28.8" x14ac:dyDescent="0.3">
      <c r="A200" t="s">
        <v>313</v>
      </c>
      <c r="B200" t="s">
        <v>85</v>
      </c>
      <c r="C200" t="s">
        <v>79</v>
      </c>
      <c r="D200" s="9">
        <v>46042</v>
      </c>
      <c r="E200" t="s">
        <v>86</v>
      </c>
      <c r="F200">
        <v>2</v>
      </c>
      <c r="G200">
        <v>3</v>
      </c>
      <c r="H200">
        <v>4</v>
      </c>
      <c r="I200">
        <v>4</v>
      </c>
      <c r="J200" s="10" t="s">
        <v>92</v>
      </c>
    </row>
    <row r="201" spans="1:10" ht="14.4" x14ac:dyDescent="0.3">
      <c r="A201" t="s">
        <v>314</v>
      </c>
      <c r="B201" t="s">
        <v>112</v>
      </c>
      <c r="C201" t="s">
        <v>96</v>
      </c>
      <c r="D201" s="9">
        <v>46039</v>
      </c>
      <c r="E201" t="s">
        <v>86</v>
      </c>
      <c r="F201">
        <v>5</v>
      </c>
      <c r="G201">
        <v>5</v>
      </c>
      <c r="H201">
        <v>5</v>
      </c>
      <c r="I201">
        <v>4</v>
      </c>
      <c r="J201" s="10" t="s">
        <v>90</v>
      </c>
    </row>
    <row r="202" spans="1:10" ht="14.4" x14ac:dyDescent="0.3">
      <c r="A202" t="s">
        <v>315</v>
      </c>
      <c r="B202" t="s">
        <v>82</v>
      </c>
      <c r="C202" t="s">
        <v>96</v>
      </c>
      <c r="D202" s="9">
        <v>45946</v>
      </c>
      <c r="E202" t="s">
        <v>75</v>
      </c>
      <c r="F202">
        <v>4</v>
      </c>
      <c r="G202">
        <v>5</v>
      </c>
      <c r="H202">
        <v>5</v>
      </c>
      <c r="I202">
        <v>5</v>
      </c>
      <c r="J202" s="10" t="s">
        <v>90</v>
      </c>
    </row>
    <row r="203" spans="1:10" ht="28.8" x14ac:dyDescent="0.3">
      <c r="A203" t="s">
        <v>316</v>
      </c>
      <c r="B203" t="s">
        <v>89</v>
      </c>
      <c r="C203" t="s">
        <v>96</v>
      </c>
      <c r="D203" s="9">
        <v>46029</v>
      </c>
      <c r="E203" t="s">
        <v>86</v>
      </c>
      <c r="F203">
        <v>2</v>
      </c>
      <c r="G203">
        <v>3</v>
      </c>
      <c r="H203">
        <v>3</v>
      </c>
      <c r="I203">
        <v>4</v>
      </c>
      <c r="J203" s="10" t="s">
        <v>237</v>
      </c>
    </row>
    <row r="204" spans="1:10" ht="28.8" x14ac:dyDescent="0.3">
      <c r="A204" t="s">
        <v>317</v>
      </c>
      <c r="B204" t="s">
        <v>89</v>
      </c>
      <c r="C204" t="s">
        <v>79</v>
      </c>
      <c r="D204" s="9">
        <v>46020</v>
      </c>
      <c r="E204" t="s">
        <v>75</v>
      </c>
      <c r="F204">
        <v>4</v>
      </c>
      <c r="G204">
        <v>4</v>
      </c>
      <c r="H204">
        <v>4</v>
      </c>
      <c r="I204">
        <v>4</v>
      </c>
      <c r="J204" s="10" t="s">
        <v>141</v>
      </c>
    </row>
    <row r="205" spans="1:10" ht="14.4" x14ac:dyDescent="0.3">
      <c r="A205" t="s">
        <v>318</v>
      </c>
      <c r="B205" t="s">
        <v>78</v>
      </c>
      <c r="C205" t="s">
        <v>79</v>
      </c>
      <c r="D205" s="9">
        <v>45886</v>
      </c>
      <c r="E205" t="s">
        <v>75</v>
      </c>
      <c r="F205">
        <v>4</v>
      </c>
      <c r="G205">
        <v>4</v>
      </c>
      <c r="H205">
        <v>4</v>
      </c>
      <c r="I205">
        <v>2</v>
      </c>
      <c r="J205" s="10" t="s">
        <v>101</v>
      </c>
    </row>
    <row r="206" spans="1:10" ht="14.4" x14ac:dyDescent="0.3">
      <c r="A206" t="s">
        <v>319</v>
      </c>
      <c r="B206" t="s">
        <v>82</v>
      </c>
      <c r="C206" t="s">
        <v>74</v>
      </c>
      <c r="D206" s="9">
        <v>45814</v>
      </c>
      <c r="E206" t="s">
        <v>75</v>
      </c>
      <c r="F206">
        <v>4</v>
      </c>
      <c r="G206">
        <v>5</v>
      </c>
      <c r="H206">
        <v>5</v>
      </c>
      <c r="I206">
        <v>5</v>
      </c>
      <c r="J206" s="10" t="s">
        <v>90</v>
      </c>
    </row>
    <row r="207" spans="1:10" ht="28.8" x14ac:dyDescent="0.3">
      <c r="A207" t="s">
        <v>320</v>
      </c>
      <c r="B207" t="s">
        <v>73</v>
      </c>
      <c r="C207" t="s">
        <v>79</v>
      </c>
      <c r="D207" s="9">
        <v>45829</v>
      </c>
      <c r="E207" t="s">
        <v>86</v>
      </c>
      <c r="F207">
        <v>3</v>
      </c>
      <c r="G207">
        <v>3</v>
      </c>
      <c r="H207">
        <v>3</v>
      </c>
      <c r="I207">
        <v>2</v>
      </c>
      <c r="J207" s="10" t="s">
        <v>97</v>
      </c>
    </row>
    <row r="208" spans="1:10" ht="14.4" x14ac:dyDescent="0.3">
      <c r="A208" t="s">
        <v>321</v>
      </c>
      <c r="B208" t="s">
        <v>73</v>
      </c>
      <c r="C208" t="s">
        <v>96</v>
      </c>
      <c r="D208" s="9">
        <v>46022</v>
      </c>
      <c r="E208" t="s">
        <v>75</v>
      </c>
      <c r="F208">
        <v>3</v>
      </c>
      <c r="G208">
        <v>3</v>
      </c>
      <c r="H208">
        <v>3</v>
      </c>
      <c r="I208">
        <v>3</v>
      </c>
      <c r="J208" s="10" t="s">
        <v>83</v>
      </c>
    </row>
    <row r="209" spans="1:10" ht="14.4" x14ac:dyDescent="0.3">
      <c r="A209" t="s">
        <v>322</v>
      </c>
      <c r="B209" t="s">
        <v>82</v>
      </c>
      <c r="C209" t="s">
        <v>79</v>
      </c>
      <c r="D209" s="9">
        <v>45814</v>
      </c>
      <c r="E209" t="s">
        <v>86</v>
      </c>
      <c r="F209">
        <v>4</v>
      </c>
      <c r="G209">
        <v>4</v>
      </c>
      <c r="H209">
        <v>5</v>
      </c>
      <c r="I209">
        <v>5</v>
      </c>
      <c r="J209" s="10" t="s">
        <v>124</v>
      </c>
    </row>
    <row r="210" spans="1:10" ht="14.4" x14ac:dyDescent="0.3">
      <c r="A210" t="s">
        <v>323</v>
      </c>
      <c r="B210" t="s">
        <v>73</v>
      </c>
      <c r="C210" t="s">
        <v>96</v>
      </c>
      <c r="D210" s="9">
        <v>45988</v>
      </c>
      <c r="E210" t="s">
        <v>86</v>
      </c>
      <c r="F210">
        <v>2</v>
      </c>
      <c r="G210">
        <v>3</v>
      </c>
      <c r="H210">
        <v>3</v>
      </c>
      <c r="I210">
        <v>4</v>
      </c>
      <c r="J210" s="10" t="s">
        <v>101</v>
      </c>
    </row>
    <row r="211" spans="1:10" ht="14.4" x14ac:dyDescent="0.3">
      <c r="A211" t="s">
        <v>324</v>
      </c>
      <c r="B211" t="s">
        <v>89</v>
      </c>
      <c r="C211" t="s">
        <v>79</v>
      </c>
      <c r="D211" s="9">
        <v>45846</v>
      </c>
      <c r="E211" t="s">
        <v>75</v>
      </c>
      <c r="F211">
        <v>3</v>
      </c>
      <c r="G211">
        <v>3</v>
      </c>
      <c r="H211">
        <v>3</v>
      </c>
      <c r="I211">
        <v>3</v>
      </c>
      <c r="J211" s="10" t="s">
        <v>110</v>
      </c>
    </row>
    <row r="212" spans="1:10" ht="14.4" x14ac:dyDescent="0.3">
      <c r="A212" t="s">
        <v>325</v>
      </c>
      <c r="B212" t="s">
        <v>112</v>
      </c>
      <c r="C212" t="s">
        <v>96</v>
      </c>
      <c r="D212" s="9">
        <v>45859</v>
      </c>
      <c r="E212" t="s">
        <v>86</v>
      </c>
      <c r="F212">
        <v>4</v>
      </c>
      <c r="G212">
        <v>3</v>
      </c>
      <c r="H212">
        <v>4</v>
      </c>
      <c r="I212">
        <v>2</v>
      </c>
      <c r="J212" s="10" t="s">
        <v>131</v>
      </c>
    </row>
    <row r="213" spans="1:10" ht="14.4" x14ac:dyDescent="0.3">
      <c r="A213" t="s">
        <v>326</v>
      </c>
      <c r="B213" t="s">
        <v>112</v>
      </c>
      <c r="C213" t="s">
        <v>79</v>
      </c>
      <c r="D213" s="9">
        <v>46030</v>
      </c>
      <c r="E213" t="s">
        <v>86</v>
      </c>
      <c r="F213">
        <v>4</v>
      </c>
      <c r="G213">
        <v>3</v>
      </c>
      <c r="H213">
        <v>4</v>
      </c>
      <c r="I213">
        <v>3</v>
      </c>
      <c r="J213" s="10" t="s">
        <v>101</v>
      </c>
    </row>
    <row r="214" spans="1:10" ht="14.4" x14ac:dyDescent="0.3">
      <c r="A214" t="s">
        <v>327</v>
      </c>
      <c r="B214" t="s">
        <v>78</v>
      </c>
      <c r="C214" t="s">
        <v>79</v>
      </c>
      <c r="D214" s="9">
        <v>45849</v>
      </c>
      <c r="E214" t="s">
        <v>75</v>
      </c>
      <c r="F214">
        <v>4</v>
      </c>
      <c r="G214">
        <v>5</v>
      </c>
      <c r="H214">
        <v>4</v>
      </c>
      <c r="I214">
        <v>4</v>
      </c>
      <c r="J214" s="10" t="s">
        <v>99</v>
      </c>
    </row>
    <row r="215" spans="1:10" ht="28.8" x14ac:dyDescent="0.3">
      <c r="A215" t="s">
        <v>328</v>
      </c>
      <c r="B215" t="s">
        <v>73</v>
      </c>
      <c r="C215" t="s">
        <v>74</v>
      </c>
      <c r="D215" s="9">
        <v>46044</v>
      </c>
      <c r="E215" t="s">
        <v>86</v>
      </c>
      <c r="F215">
        <v>4</v>
      </c>
      <c r="G215">
        <v>3</v>
      </c>
      <c r="H215">
        <v>4</v>
      </c>
      <c r="I215">
        <v>3</v>
      </c>
      <c r="J215" s="10" t="s">
        <v>126</v>
      </c>
    </row>
    <row r="216" spans="1:10" ht="28.8" x14ac:dyDescent="0.3">
      <c r="A216" t="s">
        <v>329</v>
      </c>
      <c r="B216" t="s">
        <v>73</v>
      </c>
      <c r="C216" t="s">
        <v>74</v>
      </c>
      <c r="D216" s="9">
        <v>46046</v>
      </c>
      <c r="E216" t="s">
        <v>75</v>
      </c>
      <c r="F216">
        <v>3</v>
      </c>
      <c r="G216">
        <v>3</v>
      </c>
      <c r="H216">
        <v>3</v>
      </c>
      <c r="I216">
        <v>3</v>
      </c>
      <c r="J216" s="10" t="s">
        <v>92</v>
      </c>
    </row>
    <row r="217" spans="1:10" ht="14.4" x14ac:dyDescent="0.3">
      <c r="A217" t="s">
        <v>330</v>
      </c>
      <c r="B217" t="s">
        <v>85</v>
      </c>
      <c r="C217" t="s">
        <v>74</v>
      </c>
      <c r="D217" s="9">
        <v>45968</v>
      </c>
      <c r="E217" t="s">
        <v>86</v>
      </c>
      <c r="F217">
        <v>3</v>
      </c>
      <c r="G217">
        <v>3</v>
      </c>
      <c r="H217">
        <v>4</v>
      </c>
      <c r="I217">
        <v>3</v>
      </c>
      <c r="J217" s="10" t="s">
        <v>101</v>
      </c>
    </row>
    <row r="218" spans="1:10" ht="14.4" x14ac:dyDescent="0.3">
      <c r="A218" t="s">
        <v>331</v>
      </c>
      <c r="B218" t="s">
        <v>82</v>
      </c>
      <c r="C218" t="s">
        <v>96</v>
      </c>
      <c r="D218" s="9">
        <v>45985</v>
      </c>
      <c r="E218" t="s">
        <v>86</v>
      </c>
      <c r="F218">
        <v>4</v>
      </c>
      <c r="G218">
        <v>4</v>
      </c>
      <c r="H218">
        <v>4</v>
      </c>
      <c r="I218">
        <v>5</v>
      </c>
      <c r="J218" s="10" t="s">
        <v>80</v>
      </c>
    </row>
    <row r="219" spans="1:10" ht="28.8" x14ac:dyDescent="0.3">
      <c r="A219" t="s">
        <v>332</v>
      </c>
      <c r="B219" t="s">
        <v>85</v>
      </c>
      <c r="C219" t="s">
        <v>74</v>
      </c>
      <c r="D219" s="9">
        <v>45945</v>
      </c>
      <c r="E219" t="s">
        <v>86</v>
      </c>
      <c r="F219">
        <v>5</v>
      </c>
      <c r="G219">
        <v>4</v>
      </c>
      <c r="H219">
        <v>4</v>
      </c>
      <c r="I219">
        <v>3</v>
      </c>
      <c r="J219" s="10" t="s">
        <v>129</v>
      </c>
    </row>
    <row r="220" spans="1:10" ht="28.8" x14ac:dyDescent="0.3">
      <c r="A220" t="s">
        <v>333</v>
      </c>
      <c r="B220" t="s">
        <v>89</v>
      </c>
      <c r="C220" t="s">
        <v>74</v>
      </c>
      <c r="D220" s="9">
        <v>45853</v>
      </c>
      <c r="E220" t="s">
        <v>86</v>
      </c>
      <c r="F220">
        <v>5</v>
      </c>
      <c r="G220">
        <v>5</v>
      </c>
      <c r="H220">
        <v>4</v>
      </c>
      <c r="I220">
        <v>4</v>
      </c>
      <c r="J220" s="10" t="s">
        <v>126</v>
      </c>
    </row>
    <row r="221" spans="1:10" ht="14.4" x14ac:dyDescent="0.3">
      <c r="A221" t="s">
        <v>334</v>
      </c>
      <c r="B221" t="s">
        <v>82</v>
      </c>
      <c r="C221" t="s">
        <v>74</v>
      </c>
      <c r="D221" s="9">
        <v>45985</v>
      </c>
      <c r="E221" t="s">
        <v>86</v>
      </c>
      <c r="F221">
        <v>5</v>
      </c>
      <c r="G221">
        <v>5</v>
      </c>
      <c r="H221">
        <v>4</v>
      </c>
      <c r="I221">
        <v>5</v>
      </c>
      <c r="J221" s="10" t="s">
        <v>105</v>
      </c>
    </row>
    <row r="222" spans="1:10" ht="28.8" x14ac:dyDescent="0.3">
      <c r="A222" t="s">
        <v>335</v>
      </c>
      <c r="B222" t="s">
        <v>112</v>
      </c>
      <c r="C222" t="s">
        <v>96</v>
      </c>
      <c r="D222" s="9">
        <v>45959</v>
      </c>
      <c r="E222" t="s">
        <v>86</v>
      </c>
      <c r="F222">
        <v>5</v>
      </c>
      <c r="G222">
        <v>5</v>
      </c>
      <c r="H222">
        <v>4</v>
      </c>
      <c r="I222">
        <v>5</v>
      </c>
      <c r="J222" s="10" t="s">
        <v>126</v>
      </c>
    </row>
    <row r="223" spans="1:10" ht="14.4" x14ac:dyDescent="0.3">
      <c r="A223" t="s">
        <v>336</v>
      </c>
      <c r="B223" t="s">
        <v>85</v>
      </c>
      <c r="C223" t="s">
        <v>79</v>
      </c>
      <c r="D223" s="9">
        <v>45955</v>
      </c>
      <c r="E223" t="s">
        <v>86</v>
      </c>
      <c r="F223">
        <v>5</v>
      </c>
      <c r="G223">
        <v>5</v>
      </c>
      <c r="H223">
        <v>3</v>
      </c>
      <c r="I223">
        <v>4</v>
      </c>
      <c r="J223" s="10" t="s">
        <v>94</v>
      </c>
    </row>
    <row r="224" spans="1:10" ht="14.4" x14ac:dyDescent="0.3">
      <c r="A224" t="s">
        <v>337</v>
      </c>
      <c r="B224" t="s">
        <v>85</v>
      </c>
      <c r="C224" t="s">
        <v>74</v>
      </c>
      <c r="D224" s="9">
        <v>45963</v>
      </c>
      <c r="E224" t="s">
        <v>86</v>
      </c>
      <c r="F224">
        <v>5</v>
      </c>
      <c r="G224">
        <v>5</v>
      </c>
      <c r="H224">
        <v>3</v>
      </c>
      <c r="I224">
        <v>4</v>
      </c>
      <c r="J224" s="10" t="s">
        <v>124</v>
      </c>
    </row>
    <row r="225" spans="1:10" ht="28.8" x14ac:dyDescent="0.3">
      <c r="A225" t="s">
        <v>338</v>
      </c>
      <c r="B225" t="s">
        <v>82</v>
      </c>
      <c r="C225" t="s">
        <v>74</v>
      </c>
      <c r="D225" s="9">
        <v>45843</v>
      </c>
      <c r="E225" t="s">
        <v>86</v>
      </c>
      <c r="F225">
        <v>3</v>
      </c>
      <c r="G225">
        <v>5</v>
      </c>
      <c r="H225">
        <v>5</v>
      </c>
      <c r="I225">
        <v>5</v>
      </c>
      <c r="J225" s="10" t="s">
        <v>103</v>
      </c>
    </row>
    <row r="226" spans="1:10" ht="14.4" x14ac:dyDescent="0.3">
      <c r="A226" t="s">
        <v>339</v>
      </c>
      <c r="B226" t="s">
        <v>78</v>
      </c>
      <c r="C226" t="s">
        <v>79</v>
      </c>
      <c r="D226" s="9">
        <v>45972</v>
      </c>
      <c r="E226" t="s">
        <v>86</v>
      </c>
      <c r="F226">
        <v>4</v>
      </c>
      <c r="G226">
        <v>3</v>
      </c>
      <c r="H226">
        <v>4</v>
      </c>
      <c r="I226">
        <v>3</v>
      </c>
      <c r="J226" s="10" t="s">
        <v>80</v>
      </c>
    </row>
    <row r="227" spans="1:10" ht="14.4" x14ac:dyDescent="0.3">
      <c r="A227" t="s">
        <v>340</v>
      </c>
      <c r="B227" t="s">
        <v>85</v>
      </c>
      <c r="C227" t="s">
        <v>79</v>
      </c>
      <c r="D227" s="9">
        <v>45919</v>
      </c>
      <c r="E227" t="s">
        <v>75</v>
      </c>
      <c r="F227">
        <v>4</v>
      </c>
      <c r="G227">
        <v>5</v>
      </c>
      <c r="H227">
        <v>4</v>
      </c>
      <c r="I227">
        <v>5</v>
      </c>
      <c r="J227" s="10" t="s">
        <v>94</v>
      </c>
    </row>
    <row r="228" spans="1:10" ht="28.8" x14ac:dyDescent="0.3">
      <c r="A228" t="s">
        <v>341</v>
      </c>
      <c r="B228" t="s">
        <v>85</v>
      </c>
      <c r="C228" t="s">
        <v>96</v>
      </c>
      <c r="D228" s="9">
        <v>45848</v>
      </c>
      <c r="E228" t="s">
        <v>75</v>
      </c>
      <c r="F228">
        <v>4</v>
      </c>
      <c r="G228">
        <v>4</v>
      </c>
      <c r="H228">
        <v>4</v>
      </c>
      <c r="I228">
        <v>4</v>
      </c>
      <c r="J228" s="10" t="s">
        <v>189</v>
      </c>
    </row>
    <row r="229" spans="1:10" ht="14.4" x14ac:dyDescent="0.3">
      <c r="A229" t="s">
        <v>342</v>
      </c>
      <c r="B229" t="s">
        <v>78</v>
      </c>
      <c r="C229" t="s">
        <v>79</v>
      </c>
      <c r="D229" s="9">
        <v>45976</v>
      </c>
      <c r="E229" t="s">
        <v>75</v>
      </c>
      <c r="F229">
        <v>3</v>
      </c>
      <c r="G229">
        <v>4</v>
      </c>
      <c r="H229">
        <v>4</v>
      </c>
      <c r="I229">
        <v>4</v>
      </c>
      <c r="J229" s="10" t="s">
        <v>83</v>
      </c>
    </row>
    <row r="230" spans="1:10" ht="14.4" x14ac:dyDescent="0.3">
      <c r="A230" t="s">
        <v>343</v>
      </c>
      <c r="B230" t="s">
        <v>112</v>
      </c>
      <c r="C230" t="s">
        <v>96</v>
      </c>
      <c r="D230" s="9">
        <v>45999</v>
      </c>
      <c r="E230" t="s">
        <v>86</v>
      </c>
      <c r="F230">
        <v>3</v>
      </c>
      <c r="G230">
        <v>2</v>
      </c>
      <c r="H230">
        <v>4</v>
      </c>
      <c r="I230">
        <v>3</v>
      </c>
      <c r="J230" s="10" t="s">
        <v>110</v>
      </c>
    </row>
    <row r="231" spans="1:10" ht="28.8" x14ac:dyDescent="0.3">
      <c r="A231" t="s">
        <v>344</v>
      </c>
      <c r="B231" t="s">
        <v>85</v>
      </c>
      <c r="C231" t="s">
        <v>74</v>
      </c>
      <c r="D231" s="9">
        <v>45969</v>
      </c>
      <c r="E231" t="s">
        <v>75</v>
      </c>
      <c r="F231">
        <v>4</v>
      </c>
      <c r="G231">
        <v>2</v>
      </c>
      <c r="H231">
        <v>4</v>
      </c>
      <c r="I231">
        <v>3</v>
      </c>
      <c r="J231" s="10" t="s">
        <v>264</v>
      </c>
    </row>
    <row r="232" spans="1:10" ht="28.8" x14ac:dyDescent="0.3">
      <c r="A232" t="s">
        <v>345</v>
      </c>
      <c r="B232" t="s">
        <v>78</v>
      </c>
      <c r="C232" t="s">
        <v>96</v>
      </c>
      <c r="D232" s="9">
        <v>45813</v>
      </c>
      <c r="E232" t="s">
        <v>86</v>
      </c>
      <c r="F232">
        <v>5</v>
      </c>
      <c r="G232">
        <v>5</v>
      </c>
      <c r="H232">
        <v>4</v>
      </c>
      <c r="I232">
        <v>4</v>
      </c>
      <c r="J232" s="10" t="s">
        <v>118</v>
      </c>
    </row>
    <row r="233" spans="1:10" ht="14.4" x14ac:dyDescent="0.3">
      <c r="A233" t="s">
        <v>346</v>
      </c>
      <c r="B233" t="s">
        <v>85</v>
      </c>
      <c r="C233" t="s">
        <v>79</v>
      </c>
      <c r="D233" s="9">
        <v>45978</v>
      </c>
      <c r="E233" t="s">
        <v>75</v>
      </c>
      <c r="F233">
        <v>4</v>
      </c>
      <c r="G233">
        <v>4</v>
      </c>
      <c r="H233">
        <v>4</v>
      </c>
      <c r="I233">
        <v>5</v>
      </c>
      <c r="J233" s="10" t="s">
        <v>94</v>
      </c>
    </row>
    <row r="234" spans="1:10" ht="28.8" x14ac:dyDescent="0.3">
      <c r="A234" t="s">
        <v>347</v>
      </c>
      <c r="B234" t="s">
        <v>112</v>
      </c>
      <c r="C234" t="s">
        <v>74</v>
      </c>
      <c r="D234" s="9">
        <v>45935</v>
      </c>
      <c r="E234" t="s">
        <v>75</v>
      </c>
      <c r="F234">
        <v>2</v>
      </c>
      <c r="G234">
        <v>3</v>
      </c>
      <c r="H234">
        <v>4</v>
      </c>
      <c r="I234">
        <v>4</v>
      </c>
      <c r="J234" s="10" t="s">
        <v>213</v>
      </c>
    </row>
    <row r="235" spans="1:10" ht="14.4" x14ac:dyDescent="0.3">
      <c r="A235" t="s">
        <v>348</v>
      </c>
      <c r="B235" t="s">
        <v>82</v>
      </c>
      <c r="C235" t="s">
        <v>79</v>
      </c>
      <c r="D235" s="9">
        <v>45983</v>
      </c>
      <c r="E235" t="s">
        <v>75</v>
      </c>
      <c r="F235">
        <v>3</v>
      </c>
      <c r="G235">
        <v>3</v>
      </c>
      <c r="H235">
        <v>4</v>
      </c>
      <c r="I235">
        <v>3</v>
      </c>
      <c r="J235" s="10" t="s">
        <v>83</v>
      </c>
    </row>
    <row r="236" spans="1:10" ht="14.4" x14ac:dyDescent="0.3">
      <c r="A236" t="s">
        <v>349</v>
      </c>
      <c r="B236" t="s">
        <v>78</v>
      </c>
      <c r="C236" t="s">
        <v>96</v>
      </c>
      <c r="D236" s="9">
        <v>45970</v>
      </c>
      <c r="E236" t="s">
        <v>86</v>
      </c>
      <c r="F236">
        <v>4</v>
      </c>
      <c r="G236">
        <v>5</v>
      </c>
      <c r="H236">
        <v>4</v>
      </c>
      <c r="I236">
        <v>4</v>
      </c>
      <c r="J236" s="10" t="s">
        <v>191</v>
      </c>
    </row>
    <row r="237" spans="1:10" ht="14.4" x14ac:dyDescent="0.3">
      <c r="A237" t="s">
        <v>350</v>
      </c>
      <c r="B237" t="s">
        <v>85</v>
      </c>
      <c r="C237" t="s">
        <v>74</v>
      </c>
      <c r="D237" s="9">
        <v>45828</v>
      </c>
      <c r="E237" t="s">
        <v>75</v>
      </c>
      <c r="F237">
        <v>5</v>
      </c>
      <c r="G237">
        <v>5</v>
      </c>
      <c r="H237">
        <v>4</v>
      </c>
      <c r="I237">
        <v>5</v>
      </c>
      <c r="J237" s="10" t="s">
        <v>87</v>
      </c>
    </row>
    <row r="238" spans="1:10" ht="14.4" x14ac:dyDescent="0.3">
      <c r="A238" t="s">
        <v>351</v>
      </c>
      <c r="B238" t="s">
        <v>78</v>
      </c>
      <c r="C238" t="s">
        <v>96</v>
      </c>
      <c r="D238" s="9">
        <v>45989</v>
      </c>
      <c r="E238" t="s">
        <v>86</v>
      </c>
      <c r="F238">
        <v>4</v>
      </c>
      <c r="G238">
        <v>4</v>
      </c>
      <c r="H238">
        <v>4</v>
      </c>
      <c r="I238">
        <v>5</v>
      </c>
      <c r="J238" s="10" t="s">
        <v>76</v>
      </c>
    </row>
    <row r="239" spans="1:10" ht="28.8" x14ac:dyDescent="0.3">
      <c r="A239" t="s">
        <v>352</v>
      </c>
      <c r="B239" t="s">
        <v>78</v>
      </c>
      <c r="C239" t="s">
        <v>74</v>
      </c>
      <c r="D239" s="9">
        <v>45884</v>
      </c>
      <c r="E239" t="s">
        <v>75</v>
      </c>
      <c r="F239">
        <v>3</v>
      </c>
      <c r="G239">
        <v>2</v>
      </c>
      <c r="H239">
        <v>4</v>
      </c>
      <c r="I239">
        <v>2</v>
      </c>
      <c r="J239" s="10" t="s">
        <v>97</v>
      </c>
    </row>
    <row r="240" spans="1:10" ht="28.8" x14ac:dyDescent="0.3">
      <c r="A240" t="s">
        <v>353</v>
      </c>
      <c r="B240" t="s">
        <v>78</v>
      </c>
      <c r="C240" t="s">
        <v>96</v>
      </c>
      <c r="D240" s="9">
        <v>45867</v>
      </c>
      <c r="E240" t="s">
        <v>75</v>
      </c>
      <c r="F240">
        <v>4</v>
      </c>
      <c r="G240">
        <v>4</v>
      </c>
      <c r="H240">
        <v>4</v>
      </c>
      <c r="I240">
        <v>4</v>
      </c>
      <c r="J240" s="10" t="s">
        <v>189</v>
      </c>
    </row>
    <row r="241" spans="1:10" ht="14.4" x14ac:dyDescent="0.3">
      <c r="A241" t="s">
        <v>354</v>
      </c>
      <c r="B241" t="s">
        <v>78</v>
      </c>
      <c r="C241" t="s">
        <v>96</v>
      </c>
      <c r="D241" s="9">
        <v>45955</v>
      </c>
      <c r="E241" t="s">
        <v>86</v>
      </c>
      <c r="F241">
        <v>5</v>
      </c>
      <c r="G241">
        <v>5</v>
      </c>
      <c r="H241">
        <v>4</v>
      </c>
      <c r="I241">
        <v>4</v>
      </c>
      <c r="J241" s="10" t="s">
        <v>90</v>
      </c>
    </row>
    <row r="242" spans="1:10" ht="28.8" x14ac:dyDescent="0.3">
      <c r="A242" t="s">
        <v>355</v>
      </c>
      <c r="B242" t="s">
        <v>78</v>
      </c>
      <c r="C242" t="s">
        <v>79</v>
      </c>
      <c r="D242" s="9">
        <v>46005</v>
      </c>
      <c r="E242" t="s">
        <v>75</v>
      </c>
      <c r="F242">
        <v>4</v>
      </c>
      <c r="G242">
        <v>5</v>
      </c>
      <c r="H242">
        <v>4</v>
      </c>
      <c r="I242">
        <v>5</v>
      </c>
      <c r="J242" s="10" t="s">
        <v>118</v>
      </c>
    </row>
    <row r="243" spans="1:10" ht="28.8" x14ac:dyDescent="0.3">
      <c r="A243" t="s">
        <v>356</v>
      </c>
      <c r="B243" t="s">
        <v>85</v>
      </c>
      <c r="C243" t="s">
        <v>79</v>
      </c>
      <c r="D243" s="9">
        <v>45833</v>
      </c>
      <c r="E243" t="s">
        <v>86</v>
      </c>
      <c r="F243">
        <v>4</v>
      </c>
      <c r="G243">
        <v>3</v>
      </c>
      <c r="H243">
        <v>3</v>
      </c>
      <c r="I243">
        <v>2</v>
      </c>
      <c r="J243" s="10" t="s">
        <v>92</v>
      </c>
    </row>
    <row r="244" spans="1:10" ht="14.4" x14ac:dyDescent="0.3">
      <c r="A244" t="s">
        <v>357</v>
      </c>
      <c r="B244" t="s">
        <v>112</v>
      </c>
      <c r="C244" t="s">
        <v>96</v>
      </c>
      <c r="D244" s="9">
        <v>45992</v>
      </c>
      <c r="E244" t="s">
        <v>75</v>
      </c>
      <c r="F244">
        <v>3</v>
      </c>
      <c r="G244">
        <v>4</v>
      </c>
      <c r="H244">
        <v>3</v>
      </c>
      <c r="I244">
        <v>4</v>
      </c>
      <c r="J244" s="10" t="s">
        <v>90</v>
      </c>
    </row>
    <row r="245" spans="1:10" ht="14.4" x14ac:dyDescent="0.3">
      <c r="A245" t="s">
        <v>358</v>
      </c>
      <c r="B245" t="s">
        <v>82</v>
      </c>
      <c r="C245" t="s">
        <v>96</v>
      </c>
      <c r="D245" s="9">
        <v>45899</v>
      </c>
      <c r="E245" t="s">
        <v>75</v>
      </c>
      <c r="F245">
        <v>5</v>
      </c>
      <c r="G245">
        <v>3</v>
      </c>
      <c r="H245">
        <v>4</v>
      </c>
      <c r="I245">
        <v>4</v>
      </c>
      <c r="J245" s="10" t="s">
        <v>99</v>
      </c>
    </row>
    <row r="246" spans="1:10" ht="14.4" x14ac:dyDescent="0.3">
      <c r="A246" t="s">
        <v>359</v>
      </c>
      <c r="B246" t="s">
        <v>112</v>
      </c>
      <c r="C246" t="s">
        <v>79</v>
      </c>
      <c r="D246" s="9">
        <v>46011</v>
      </c>
      <c r="E246" t="s">
        <v>86</v>
      </c>
      <c r="F246">
        <v>5</v>
      </c>
      <c r="G246">
        <v>4</v>
      </c>
      <c r="H246">
        <v>4</v>
      </c>
      <c r="I246">
        <v>5</v>
      </c>
      <c r="J246" s="10" t="s">
        <v>124</v>
      </c>
    </row>
    <row r="247" spans="1:10" ht="14.4" x14ac:dyDescent="0.3">
      <c r="A247" t="s">
        <v>360</v>
      </c>
      <c r="B247" t="s">
        <v>85</v>
      </c>
      <c r="C247" t="s">
        <v>96</v>
      </c>
      <c r="D247" s="9">
        <v>46048</v>
      </c>
      <c r="E247" t="s">
        <v>86</v>
      </c>
      <c r="F247">
        <v>5</v>
      </c>
      <c r="G247">
        <v>5</v>
      </c>
      <c r="H247">
        <v>5</v>
      </c>
      <c r="I247">
        <v>5</v>
      </c>
      <c r="J247" s="10" t="s">
        <v>80</v>
      </c>
    </row>
    <row r="248" spans="1:10" ht="14.4" x14ac:dyDescent="0.3">
      <c r="A248" t="s">
        <v>361</v>
      </c>
      <c r="B248" t="s">
        <v>73</v>
      </c>
      <c r="C248" t="s">
        <v>96</v>
      </c>
      <c r="D248" s="9">
        <v>46048</v>
      </c>
      <c r="E248" t="s">
        <v>86</v>
      </c>
      <c r="F248">
        <v>2</v>
      </c>
      <c r="G248">
        <v>4</v>
      </c>
      <c r="H248">
        <v>2</v>
      </c>
      <c r="I248">
        <v>3</v>
      </c>
      <c r="J248" s="10" t="s">
        <v>110</v>
      </c>
    </row>
    <row r="249" spans="1:10" ht="14.4" x14ac:dyDescent="0.3">
      <c r="A249" t="s">
        <v>362</v>
      </c>
      <c r="B249" t="s">
        <v>78</v>
      </c>
      <c r="C249" t="s">
        <v>79</v>
      </c>
      <c r="D249" s="9">
        <v>46041</v>
      </c>
      <c r="E249" t="s">
        <v>86</v>
      </c>
      <c r="F249">
        <v>4</v>
      </c>
      <c r="G249">
        <v>4</v>
      </c>
      <c r="H249">
        <v>3</v>
      </c>
      <c r="I249">
        <v>3</v>
      </c>
      <c r="J249" s="10" t="s">
        <v>90</v>
      </c>
    </row>
    <row r="250" spans="1:10" ht="14.4" x14ac:dyDescent="0.3">
      <c r="A250" t="s">
        <v>363</v>
      </c>
      <c r="B250" t="s">
        <v>89</v>
      </c>
      <c r="C250" t="s">
        <v>96</v>
      </c>
      <c r="D250" s="9">
        <v>45831</v>
      </c>
      <c r="E250" t="s">
        <v>75</v>
      </c>
      <c r="F250">
        <v>3</v>
      </c>
      <c r="G250">
        <v>3</v>
      </c>
      <c r="H250">
        <v>4</v>
      </c>
      <c r="I250">
        <v>4</v>
      </c>
      <c r="J250" s="10" t="s">
        <v>105</v>
      </c>
    </row>
    <row r="251" spans="1:10" ht="14.4" x14ac:dyDescent="0.3">
      <c r="A251" t="s">
        <v>364</v>
      </c>
      <c r="B251" t="s">
        <v>82</v>
      </c>
      <c r="C251" t="s">
        <v>79</v>
      </c>
      <c r="D251" s="9">
        <v>45816</v>
      </c>
      <c r="E251" t="s">
        <v>75</v>
      </c>
      <c r="F251">
        <v>4</v>
      </c>
      <c r="G251">
        <v>3</v>
      </c>
      <c r="H251">
        <v>3</v>
      </c>
      <c r="I251">
        <v>5</v>
      </c>
      <c r="J251" s="10" t="s">
        <v>99</v>
      </c>
    </row>
    <row r="252" spans="1:10" ht="28.8" x14ac:dyDescent="0.3">
      <c r="A252" t="s">
        <v>365</v>
      </c>
      <c r="B252" t="s">
        <v>73</v>
      </c>
      <c r="C252" t="s">
        <v>74</v>
      </c>
      <c r="D252" s="9">
        <v>45879</v>
      </c>
      <c r="E252" t="s">
        <v>86</v>
      </c>
      <c r="F252">
        <v>2</v>
      </c>
      <c r="G252">
        <v>3</v>
      </c>
      <c r="H252">
        <v>3</v>
      </c>
      <c r="I252">
        <v>3</v>
      </c>
      <c r="J252" s="10" t="s">
        <v>129</v>
      </c>
    </row>
    <row r="253" spans="1:10" ht="28.8" x14ac:dyDescent="0.3">
      <c r="A253" t="s">
        <v>366</v>
      </c>
      <c r="B253" t="s">
        <v>73</v>
      </c>
      <c r="C253" t="s">
        <v>79</v>
      </c>
      <c r="D253" s="9">
        <v>46035</v>
      </c>
      <c r="E253" t="s">
        <v>86</v>
      </c>
      <c r="F253">
        <v>3</v>
      </c>
      <c r="G253">
        <v>2</v>
      </c>
      <c r="H253">
        <v>2</v>
      </c>
      <c r="I253">
        <v>4</v>
      </c>
      <c r="J253" s="10" t="s">
        <v>157</v>
      </c>
    </row>
    <row r="254" spans="1:10" ht="14.4" x14ac:dyDescent="0.3">
      <c r="A254" t="s">
        <v>367</v>
      </c>
      <c r="B254" t="s">
        <v>85</v>
      </c>
      <c r="C254" t="s">
        <v>74</v>
      </c>
      <c r="D254" s="9">
        <v>45968</v>
      </c>
      <c r="E254" t="s">
        <v>75</v>
      </c>
      <c r="F254">
        <v>5</v>
      </c>
      <c r="G254">
        <v>4</v>
      </c>
      <c r="H254">
        <v>4</v>
      </c>
      <c r="I254">
        <v>4</v>
      </c>
      <c r="J254" s="10" t="s">
        <v>90</v>
      </c>
    </row>
    <row r="255" spans="1:10" ht="14.4" x14ac:dyDescent="0.3">
      <c r="A255" t="s">
        <v>368</v>
      </c>
      <c r="B255" t="s">
        <v>85</v>
      </c>
      <c r="C255" t="s">
        <v>79</v>
      </c>
      <c r="D255" s="9">
        <v>46048</v>
      </c>
      <c r="E255" t="s">
        <v>86</v>
      </c>
      <c r="F255">
        <v>4</v>
      </c>
      <c r="G255">
        <v>3</v>
      </c>
      <c r="H255">
        <v>3</v>
      </c>
      <c r="I255">
        <v>3</v>
      </c>
      <c r="J255" s="10" t="s">
        <v>101</v>
      </c>
    </row>
    <row r="256" spans="1:10" ht="14.4" x14ac:dyDescent="0.3">
      <c r="A256" t="s">
        <v>369</v>
      </c>
      <c r="B256" t="s">
        <v>73</v>
      </c>
      <c r="C256" t="s">
        <v>74</v>
      </c>
      <c r="D256" s="9">
        <v>45958</v>
      </c>
      <c r="E256" t="s">
        <v>86</v>
      </c>
      <c r="F256">
        <v>4</v>
      </c>
      <c r="G256">
        <v>3</v>
      </c>
      <c r="H256">
        <v>4</v>
      </c>
      <c r="I256">
        <v>4</v>
      </c>
      <c r="J256" s="10" t="s">
        <v>124</v>
      </c>
    </row>
    <row r="257" spans="1:10" ht="14.4" x14ac:dyDescent="0.3">
      <c r="A257" t="s">
        <v>370</v>
      </c>
      <c r="B257" t="s">
        <v>82</v>
      </c>
      <c r="C257" t="s">
        <v>96</v>
      </c>
      <c r="D257" s="9">
        <v>45990</v>
      </c>
      <c r="E257" t="s">
        <v>75</v>
      </c>
      <c r="F257">
        <v>4</v>
      </c>
      <c r="G257">
        <v>3</v>
      </c>
      <c r="H257">
        <v>4</v>
      </c>
      <c r="I257">
        <v>5</v>
      </c>
      <c r="J257" s="10" t="s">
        <v>107</v>
      </c>
    </row>
    <row r="258" spans="1:10" ht="14.4" x14ac:dyDescent="0.3">
      <c r="A258" t="s">
        <v>371</v>
      </c>
      <c r="B258" t="s">
        <v>82</v>
      </c>
      <c r="C258" t="s">
        <v>79</v>
      </c>
      <c r="D258" s="9">
        <v>46020</v>
      </c>
      <c r="E258" t="s">
        <v>75</v>
      </c>
      <c r="F258">
        <v>3</v>
      </c>
      <c r="G258">
        <v>3</v>
      </c>
      <c r="H258">
        <v>3</v>
      </c>
      <c r="I258">
        <v>3</v>
      </c>
      <c r="J258" s="10" t="s">
        <v>101</v>
      </c>
    </row>
    <row r="259" spans="1:10" ht="28.8" x14ac:dyDescent="0.3">
      <c r="A259" t="s">
        <v>372</v>
      </c>
      <c r="B259" t="s">
        <v>78</v>
      </c>
      <c r="C259" t="s">
        <v>96</v>
      </c>
      <c r="D259" s="9">
        <v>46020</v>
      </c>
      <c r="E259" t="s">
        <v>86</v>
      </c>
      <c r="F259">
        <v>3</v>
      </c>
      <c r="G259">
        <v>3</v>
      </c>
      <c r="H259">
        <v>3</v>
      </c>
      <c r="I259">
        <v>4</v>
      </c>
      <c r="J259" s="10" t="s">
        <v>264</v>
      </c>
    </row>
    <row r="260" spans="1:10" ht="14.4" x14ac:dyDescent="0.3">
      <c r="A260" t="s">
        <v>373</v>
      </c>
      <c r="B260" t="s">
        <v>89</v>
      </c>
      <c r="C260" t="s">
        <v>74</v>
      </c>
      <c r="D260" s="9">
        <v>46045</v>
      </c>
      <c r="E260" t="s">
        <v>75</v>
      </c>
      <c r="F260">
        <v>3</v>
      </c>
      <c r="G260">
        <v>3</v>
      </c>
      <c r="H260">
        <v>3</v>
      </c>
      <c r="I260">
        <v>3</v>
      </c>
      <c r="J260" s="10" t="s">
        <v>83</v>
      </c>
    </row>
    <row r="261" spans="1:10" ht="14.4" x14ac:dyDescent="0.3">
      <c r="A261" t="s">
        <v>374</v>
      </c>
      <c r="B261" t="s">
        <v>78</v>
      </c>
      <c r="C261" t="s">
        <v>74</v>
      </c>
      <c r="D261" s="9">
        <v>46044</v>
      </c>
      <c r="E261" t="s">
        <v>75</v>
      </c>
      <c r="F261">
        <v>2</v>
      </c>
      <c r="G261">
        <v>3</v>
      </c>
      <c r="H261">
        <v>3</v>
      </c>
      <c r="I261">
        <v>3</v>
      </c>
      <c r="J261" s="10" t="s">
        <v>83</v>
      </c>
    </row>
    <row r="262" spans="1:10" ht="28.8" x14ac:dyDescent="0.3">
      <c r="A262" t="s">
        <v>375</v>
      </c>
      <c r="B262" t="s">
        <v>112</v>
      </c>
      <c r="C262" t="s">
        <v>79</v>
      </c>
      <c r="D262" s="9">
        <v>45945</v>
      </c>
      <c r="E262" t="s">
        <v>75</v>
      </c>
      <c r="F262">
        <v>3</v>
      </c>
      <c r="G262">
        <v>4</v>
      </c>
      <c r="H262">
        <v>2</v>
      </c>
      <c r="I262">
        <v>3</v>
      </c>
      <c r="J262" s="10" t="s">
        <v>264</v>
      </c>
    </row>
    <row r="263" spans="1:10" ht="14.4" x14ac:dyDescent="0.3">
      <c r="A263" t="s">
        <v>376</v>
      </c>
      <c r="B263" t="s">
        <v>82</v>
      </c>
      <c r="C263" t="s">
        <v>96</v>
      </c>
      <c r="D263" s="9">
        <v>45893</v>
      </c>
      <c r="E263" t="s">
        <v>75</v>
      </c>
      <c r="F263">
        <v>4</v>
      </c>
      <c r="G263">
        <v>1</v>
      </c>
      <c r="H263">
        <v>3</v>
      </c>
      <c r="I263">
        <v>3</v>
      </c>
      <c r="J263" s="10" t="s">
        <v>83</v>
      </c>
    </row>
    <row r="264" spans="1:10" ht="28.8" x14ac:dyDescent="0.3">
      <c r="A264" t="s">
        <v>377</v>
      </c>
      <c r="B264" t="s">
        <v>78</v>
      </c>
      <c r="C264" t="s">
        <v>96</v>
      </c>
      <c r="D264" s="9">
        <v>45845</v>
      </c>
      <c r="E264" t="s">
        <v>75</v>
      </c>
      <c r="F264">
        <v>3</v>
      </c>
      <c r="G264">
        <v>4</v>
      </c>
      <c r="H264">
        <v>2</v>
      </c>
      <c r="I264">
        <v>4</v>
      </c>
      <c r="J264" s="10" t="s">
        <v>97</v>
      </c>
    </row>
    <row r="265" spans="1:10" ht="28.8" x14ac:dyDescent="0.3">
      <c r="A265" t="s">
        <v>378</v>
      </c>
      <c r="B265" t="s">
        <v>89</v>
      </c>
      <c r="C265" t="s">
        <v>74</v>
      </c>
      <c r="D265" s="9">
        <v>46058</v>
      </c>
      <c r="E265" t="s">
        <v>75</v>
      </c>
      <c r="F265">
        <v>3</v>
      </c>
      <c r="G265">
        <v>2</v>
      </c>
      <c r="H265">
        <v>4</v>
      </c>
      <c r="I265">
        <v>3</v>
      </c>
      <c r="J265" s="10" t="s">
        <v>143</v>
      </c>
    </row>
    <row r="266" spans="1:10" ht="14.4" x14ac:dyDescent="0.3">
      <c r="A266" t="s">
        <v>379</v>
      </c>
      <c r="B266" t="s">
        <v>85</v>
      </c>
      <c r="C266" t="s">
        <v>96</v>
      </c>
      <c r="D266" s="9">
        <v>45815</v>
      </c>
      <c r="E266" t="s">
        <v>75</v>
      </c>
      <c r="F266">
        <v>4</v>
      </c>
      <c r="G266">
        <v>4</v>
      </c>
      <c r="H266">
        <v>4</v>
      </c>
      <c r="I266">
        <v>3</v>
      </c>
      <c r="J266" s="10" t="s">
        <v>94</v>
      </c>
    </row>
    <row r="267" spans="1:10" ht="28.8" x14ac:dyDescent="0.3">
      <c r="A267" t="s">
        <v>380</v>
      </c>
      <c r="B267" t="s">
        <v>73</v>
      </c>
      <c r="C267" t="s">
        <v>96</v>
      </c>
      <c r="D267" s="9">
        <v>45965</v>
      </c>
      <c r="E267" t="s">
        <v>75</v>
      </c>
      <c r="F267">
        <v>4</v>
      </c>
      <c r="G267">
        <v>5</v>
      </c>
      <c r="H267">
        <v>5</v>
      </c>
      <c r="I267">
        <v>3</v>
      </c>
      <c r="J267" s="10" t="s">
        <v>199</v>
      </c>
    </row>
    <row r="268" spans="1:10" ht="14.4" x14ac:dyDescent="0.3">
      <c r="A268" t="s">
        <v>381</v>
      </c>
      <c r="B268" t="s">
        <v>89</v>
      </c>
      <c r="C268" t="s">
        <v>79</v>
      </c>
      <c r="D268" s="9">
        <v>46047</v>
      </c>
      <c r="E268" t="s">
        <v>75</v>
      </c>
      <c r="F268">
        <v>5</v>
      </c>
      <c r="G268">
        <v>4</v>
      </c>
      <c r="H268">
        <v>4</v>
      </c>
      <c r="I268">
        <v>5</v>
      </c>
      <c r="J268" s="10" t="s">
        <v>90</v>
      </c>
    </row>
    <row r="269" spans="1:10" ht="28.8" x14ac:dyDescent="0.3">
      <c r="A269" t="s">
        <v>382</v>
      </c>
      <c r="B269" t="s">
        <v>85</v>
      </c>
      <c r="C269" t="s">
        <v>74</v>
      </c>
      <c r="D269" s="9">
        <v>45905</v>
      </c>
      <c r="E269" t="s">
        <v>75</v>
      </c>
      <c r="F269">
        <v>4</v>
      </c>
      <c r="G269">
        <v>2</v>
      </c>
      <c r="H269">
        <v>2</v>
      </c>
      <c r="I269">
        <v>2</v>
      </c>
      <c r="J269" s="10" t="s">
        <v>92</v>
      </c>
    </row>
    <row r="270" spans="1:10" ht="28.8" x14ac:dyDescent="0.3">
      <c r="A270" t="s">
        <v>383</v>
      </c>
      <c r="B270" t="s">
        <v>78</v>
      </c>
      <c r="C270" t="s">
        <v>79</v>
      </c>
      <c r="D270" s="9">
        <v>45861</v>
      </c>
      <c r="E270" t="s">
        <v>75</v>
      </c>
      <c r="F270">
        <v>4</v>
      </c>
      <c r="G270">
        <v>4</v>
      </c>
      <c r="H270">
        <v>3</v>
      </c>
      <c r="I270">
        <v>3</v>
      </c>
      <c r="J270" s="10" t="s">
        <v>135</v>
      </c>
    </row>
    <row r="271" spans="1:10" ht="28.8" x14ac:dyDescent="0.3">
      <c r="A271" t="s">
        <v>384</v>
      </c>
      <c r="B271" t="s">
        <v>78</v>
      </c>
      <c r="C271" t="s">
        <v>79</v>
      </c>
      <c r="D271" s="9">
        <v>45949</v>
      </c>
      <c r="E271" t="s">
        <v>75</v>
      </c>
      <c r="F271">
        <v>2</v>
      </c>
      <c r="G271">
        <v>4</v>
      </c>
      <c r="H271">
        <v>3</v>
      </c>
      <c r="I271">
        <v>2</v>
      </c>
      <c r="J271" s="10" t="s">
        <v>157</v>
      </c>
    </row>
    <row r="272" spans="1:10" ht="14.4" x14ac:dyDescent="0.3">
      <c r="A272" t="s">
        <v>385</v>
      </c>
      <c r="B272" t="s">
        <v>85</v>
      </c>
      <c r="C272" t="s">
        <v>96</v>
      </c>
      <c r="D272" s="9">
        <v>45810</v>
      </c>
      <c r="E272" t="s">
        <v>86</v>
      </c>
      <c r="F272">
        <v>4</v>
      </c>
      <c r="G272">
        <v>4</v>
      </c>
      <c r="H272">
        <v>3</v>
      </c>
      <c r="I272">
        <v>5</v>
      </c>
      <c r="J272" s="10" t="s">
        <v>90</v>
      </c>
    </row>
    <row r="273" spans="1:10" ht="14.4" x14ac:dyDescent="0.3">
      <c r="A273" t="s">
        <v>386</v>
      </c>
      <c r="B273" t="s">
        <v>82</v>
      </c>
      <c r="C273" t="s">
        <v>79</v>
      </c>
      <c r="D273" s="9">
        <v>45880</v>
      </c>
      <c r="E273" t="s">
        <v>86</v>
      </c>
      <c r="F273">
        <v>4</v>
      </c>
      <c r="G273">
        <v>5</v>
      </c>
      <c r="H273">
        <v>4</v>
      </c>
      <c r="I273">
        <v>4</v>
      </c>
      <c r="J273" s="10" t="s">
        <v>124</v>
      </c>
    </row>
    <row r="274" spans="1:10" ht="14.4" x14ac:dyDescent="0.3">
      <c r="A274" t="s">
        <v>387</v>
      </c>
      <c r="B274" t="s">
        <v>82</v>
      </c>
      <c r="C274" t="s">
        <v>96</v>
      </c>
      <c r="D274" s="9">
        <v>45951</v>
      </c>
      <c r="E274" t="s">
        <v>86</v>
      </c>
      <c r="F274">
        <v>3</v>
      </c>
      <c r="G274">
        <v>3</v>
      </c>
      <c r="H274">
        <v>4</v>
      </c>
      <c r="I274">
        <v>5</v>
      </c>
      <c r="J274" s="10" t="s">
        <v>124</v>
      </c>
    </row>
    <row r="275" spans="1:10" ht="28.8" x14ac:dyDescent="0.3">
      <c r="A275" t="s">
        <v>388</v>
      </c>
      <c r="B275" t="s">
        <v>89</v>
      </c>
      <c r="C275" t="s">
        <v>79</v>
      </c>
      <c r="D275" s="9">
        <v>45862</v>
      </c>
      <c r="E275" t="s">
        <v>75</v>
      </c>
      <c r="F275">
        <v>4</v>
      </c>
      <c r="G275">
        <v>4</v>
      </c>
      <c r="H275">
        <v>3</v>
      </c>
      <c r="I275">
        <v>4</v>
      </c>
      <c r="J275" s="10" t="s">
        <v>141</v>
      </c>
    </row>
    <row r="276" spans="1:10" ht="28.8" x14ac:dyDescent="0.3">
      <c r="A276" t="s">
        <v>389</v>
      </c>
      <c r="B276" t="s">
        <v>82</v>
      </c>
      <c r="C276" t="s">
        <v>74</v>
      </c>
      <c r="D276" s="9">
        <v>45837</v>
      </c>
      <c r="E276" t="s">
        <v>75</v>
      </c>
      <c r="F276">
        <v>5</v>
      </c>
      <c r="G276">
        <v>4</v>
      </c>
      <c r="H276">
        <v>3</v>
      </c>
      <c r="I276">
        <v>4</v>
      </c>
      <c r="J276" s="10" t="s">
        <v>103</v>
      </c>
    </row>
    <row r="277" spans="1:10" ht="14.4" x14ac:dyDescent="0.3">
      <c r="A277" t="s">
        <v>390</v>
      </c>
      <c r="B277" t="s">
        <v>73</v>
      </c>
      <c r="C277" t="s">
        <v>74</v>
      </c>
      <c r="D277" s="9">
        <v>45910</v>
      </c>
      <c r="E277" t="s">
        <v>86</v>
      </c>
      <c r="F277">
        <v>3</v>
      </c>
      <c r="G277">
        <v>3</v>
      </c>
      <c r="H277">
        <v>5</v>
      </c>
      <c r="I277">
        <v>3</v>
      </c>
      <c r="J277" s="10" t="s">
        <v>124</v>
      </c>
    </row>
    <row r="278" spans="1:10" ht="28.8" x14ac:dyDescent="0.3">
      <c r="A278" t="s">
        <v>391</v>
      </c>
      <c r="B278" t="s">
        <v>73</v>
      </c>
      <c r="C278" t="s">
        <v>96</v>
      </c>
      <c r="D278" s="9">
        <v>45878</v>
      </c>
      <c r="E278" t="s">
        <v>75</v>
      </c>
      <c r="F278">
        <v>3</v>
      </c>
      <c r="G278">
        <v>4</v>
      </c>
      <c r="H278">
        <v>3</v>
      </c>
      <c r="I278">
        <v>2</v>
      </c>
      <c r="J278" s="10" t="s">
        <v>115</v>
      </c>
    </row>
    <row r="279" spans="1:10" ht="14.4" x14ac:dyDescent="0.3">
      <c r="A279" t="s">
        <v>392</v>
      </c>
      <c r="B279" t="s">
        <v>89</v>
      </c>
      <c r="C279" t="s">
        <v>74</v>
      </c>
      <c r="D279" s="9">
        <v>46058</v>
      </c>
      <c r="E279" t="s">
        <v>75</v>
      </c>
      <c r="F279">
        <v>3</v>
      </c>
      <c r="G279">
        <v>3</v>
      </c>
      <c r="H279">
        <v>2</v>
      </c>
      <c r="I279">
        <v>2</v>
      </c>
      <c r="J279" s="10" t="s">
        <v>83</v>
      </c>
    </row>
    <row r="280" spans="1:10" ht="28.8" x14ac:dyDescent="0.3">
      <c r="A280" t="s">
        <v>393</v>
      </c>
      <c r="B280" t="s">
        <v>73</v>
      </c>
      <c r="C280" t="s">
        <v>96</v>
      </c>
      <c r="D280" s="9">
        <v>45841</v>
      </c>
      <c r="E280" t="s">
        <v>86</v>
      </c>
      <c r="F280">
        <v>2</v>
      </c>
      <c r="G280">
        <v>4</v>
      </c>
      <c r="H280">
        <v>4</v>
      </c>
      <c r="I280">
        <v>3</v>
      </c>
      <c r="J280" s="10" t="s">
        <v>157</v>
      </c>
    </row>
    <row r="281" spans="1:10" ht="28.8" x14ac:dyDescent="0.3">
      <c r="A281" t="s">
        <v>394</v>
      </c>
      <c r="B281" t="s">
        <v>78</v>
      </c>
      <c r="C281" t="s">
        <v>96</v>
      </c>
      <c r="D281" s="9">
        <v>46040</v>
      </c>
      <c r="E281" t="s">
        <v>75</v>
      </c>
      <c r="F281">
        <v>4</v>
      </c>
      <c r="G281">
        <v>3</v>
      </c>
      <c r="H281">
        <v>3</v>
      </c>
      <c r="I281">
        <v>2</v>
      </c>
      <c r="J281" s="10" t="s">
        <v>92</v>
      </c>
    </row>
    <row r="282" spans="1:10" ht="14.4" x14ac:dyDescent="0.3">
      <c r="A282" t="s">
        <v>395</v>
      </c>
      <c r="B282" t="s">
        <v>85</v>
      </c>
      <c r="C282" t="s">
        <v>96</v>
      </c>
      <c r="D282" s="9">
        <v>45919</v>
      </c>
      <c r="E282" t="s">
        <v>86</v>
      </c>
      <c r="F282">
        <v>4</v>
      </c>
      <c r="G282">
        <v>1</v>
      </c>
      <c r="H282">
        <v>3</v>
      </c>
      <c r="I282">
        <v>3</v>
      </c>
      <c r="J282" s="10" t="s">
        <v>83</v>
      </c>
    </row>
    <row r="283" spans="1:10" ht="28.8" x14ac:dyDescent="0.3">
      <c r="A283" t="s">
        <v>396</v>
      </c>
      <c r="B283" t="s">
        <v>82</v>
      </c>
      <c r="C283" t="s">
        <v>74</v>
      </c>
      <c r="D283" s="9">
        <v>46018</v>
      </c>
      <c r="E283" t="s">
        <v>86</v>
      </c>
      <c r="F283">
        <v>3</v>
      </c>
      <c r="G283">
        <v>4</v>
      </c>
      <c r="H283">
        <v>4</v>
      </c>
      <c r="I283">
        <v>5</v>
      </c>
      <c r="J283" s="10" t="s">
        <v>141</v>
      </c>
    </row>
    <row r="284" spans="1:10" ht="14.4" x14ac:dyDescent="0.3">
      <c r="A284" t="s">
        <v>397</v>
      </c>
      <c r="B284" t="s">
        <v>112</v>
      </c>
      <c r="C284" t="s">
        <v>79</v>
      </c>
      <c r="D284" s="9">
        <v>45936</v>
      </c>
      <c r="E284" t="s">
        <v>75</v>
      </c>
      <c r="F284">
        <v>3</v>
      </c>
      <c r="G284">
        <v>1</v>
      </c>
      <c r="H284">
        <v>3</v>
      </c>
      <c r="I284">
        <v>3</v>
      </c>
      <c r="J284" s="10" t="s">
        <v>83</v>
      </c>
    </row>
    <row r="285" spans="1:10" ht="28.8" x14ac:dyDescent="0.3">
      <c r="A285" t="s">
        <v>398</v>
      </c>
      <c r="B285" t="s">
        <v>82</v>
      </c>
      <c r="C285" t="s">
        <v>96</v>
      </c>
      <c r="D285" s="9">
        <v>46012</v>
      </c>
      <c r="E285" t="s">
        <v>86</v>
      </c>
      <c r="F285">
        <v>4</v>
      </c>
      <c r="G285">
        <v>3</v>
      </c>
      <c r="H285">
        <v>3</v>
      </c>
      <c r="I285">
        <v>4</v>
      </c>
      <c r="J285" s="10" t="s">
        <v>126</v>
      </c>
    </row>
    <row r="286" spans="1:10" ht="28.8" x14ac:dyDescent="0.3">
      <c r="A286" t="s">
        <v>399</v>
      </c>
      <c r="B286" t="s">
        <v>73</v>
      </c>
      <c r="C286" t="s">
        <v>79</v>
      </c>
      <c r="D286" s="9">
        <v>45943</v>
      </c>
      <c r="E286" t="s">
        <v>86</v>
      </c>
      <c r="F286">
        <v>5</v>
      </c>
      <c r="G286">
        <v>5</v>
      </c>
      <c r="H286">
        <v>3</v>
      </c>
      <c r="I286">
        <v>5</v>
      </c>
      <c r="J286" s="10" t="s">
        <v>118</v>
      </c>
    </row>
    <row r="287" spans="1:10" ht="28.8" x14ac:dyDescent="0.3">
      <c r="A287" t="s">
        <v>400</v>
      </c>
      <c r="B287" t="s">
        <v>73</v>
      </c>
      <c r="C287" t="s">
        <v>96</v>
      </c>
      <c r="D287" s="9">
        <v>45932</v>
      </c>
      <c r="E287" t="s">
        <v>86</v>
      </c>
      <c r="F287">
        <v>5</v>
      </c>
      <c r="G287">
        <v>5</v>
      </c>
      <c r="H287">
        <v>5</v>
      </c>
      <c r="I287">
        <v>5</v>
      </c>
      <c r="J287" s="10" t="s">
        <v>103</v>
      </c>
    </row>
    <row r="288" spans="1:10" ht="28.8" x14ac:dyDescent="0.3">
      <c r="A288" t="s">
        <v>401</v>
      </c>
      <c r="B288" t="s">
        <v>89</v>
      </c>
      <c r="C288" t="s">
        <v>79</v>
      </c>
      <c r="D288" s="9">
        <v>45993</v>
      </c>
      <c r="E288" t="s">
        <v>86</v>
      </c>
      <c r="F288">
        <v>3</v>
      </c>
      <c r="G288">
        <v>3</v>
      </c>
      <c r="H288">
        <v>4</v>
      </c>
      <c r="I288">
        <v>2</v>
      </c>
      <c r="J288" s="10" t="s">
        <v>97</v>
      </c>
    </row>
    <row r="289" spans="1:10" ht="14.4" x14ac:dyDescent="0.3">
      <c r="A289" t="s">
        <v>402</v>
      </c>
      <c r="B289" t="s">
        <v>73</v>
      </c>
      <c r="C289" t="s">
        <v>79</v>
      </c>
      <c r="D289" s="9">
        <v>45829</v>
      </c>
      <c r="E289" t="s">
        <v>86</v>
      </c>
      <c r="F289">
        <v>5</v>
      </c>
      <c r="G289">
        <v>4</v>
      </c>
      <c r="H289">
        <v>4</v>
      </c>
      <c r="I289">
        <v>4</v>
      </c>
      <c r="J289" s="10" t="s">
        <v>94</v>
      </c>
    </row>
    <row r="290" spans="1:10" ht="14.4" x14ac:dyDescent="0.3">
      <c r="A290" t="s">
        <v>403</v>
      </c>
      <c r="B290" t="s">
        <v>85</v>
      </c>
      <c r="C290" t="s">
        <v>74</v>
      </c>
      <c r="D290" s="9">
        <v>46007</v>
      </c>
      <c r="E290" t="s">
        <v>75</v>
      </c>
      <c r="F290">
        <v>4</v>
      </c>
      <c r="G290">
        <v>4</v>
      </c>
      <c r="H290">
        <v>5</v>
      </c>
      <c r="I290">
        <v>5</v>
      </c>
      <c r="J290" s="10" t="s">
        <v>80</v>
      </c>
    </row>
    <row r="291" spans="1:10" ht="28.8" x14ac:dyDescent="0.3">
      <c r="A291" t="s">
        <v>404</v>
      </c>
      <c r="B291" t="s">
        <v>73</v>
      </c>
      <c r="C291" t="s">
        <v>79</v>
      </c>
      <c r="D291" s="9">
        <v>45961</v>
      </c>
      <c r="E291" t="s">
        <v>75</v>
      </c>
      <c r="F291">
        <v>3</v>
      </c>
      <c r="G291">
        <v>4</v>
      </c>
      <c r="H291">
        <v>3</v>
      </c>
      <c r="I291">
        <v>4</v>
      </c>
      <c r="J291" s="10" t="s">
        <v>135</v>
      </c>
    </row>
    <row r="292" spans="1:10" ht="14.4" x14ac:dyDescent="0.3">
      <c r="A292" t="s">
        <v>405</v>
      </c>
      <c r="B292" t="s">
        <v>89</v>
      </c>
      <c r="C292" t="s">
        <v>96</v>
      </c>
      <c r="D292" s="9">
        <v>46029</v>
      </c>
      <c r="E292" t="s">
        <v>86</v>
      </c>
      <c r="F292">
        <v>4</v>
      </c>
      <c r="G292">
        <v>4</v>
      </c>
      <c r="H292">
        <v>2</v>
      </c>
      <c r="I292">
        <v>2</v>
      </c>
      <c r="J292" s="10" t="s">
        <v>110</v>
      </c>
    </row>
    <row r="293" spans="1:10" ht="28.8" x14ac:dyDescent="0.3">
      <c r="A293" t="s">
        <v>406</v>
      </c>
      <c r="B293" t="s">
        <v>78</v>
      </c>
      <c r="C293" t="s">
        <v>74</v>
      </c>
      <c r="D293" s="9">
        <v>45929</v>
      </c>
      <c r="E293" t="s">
        <v>86</v>
      </c>
      <c r="F293">
        <v>4</v>
      </c>
      <c r="G293">
        <v>3</v>
      </c>
      <c r="H293">
        <v>3</v>
      </c>
      <c r="I293">
        <v>3</v>
      </c>
      <c r="J293" s="10" t="s">
        <v>103</v>
      </c>
    </row>
    <row r="294" spans="1:10" ht="14.4" x14ac:dyDescent="0.3">
      <c r="A294" t="s">
        <v>407</v>
      </c>
      <c r="B294" t="s">
        <v>112</v>
      </c>
      <c r="C294" t="s">
        <v>74</v>
      </c>
      <c r="D294" s="9">
        <v>45850</v>
      </c>
      <c r="E294" t="s">
        <v>86</v>
      </c>
      <c r="F294">
        <v>4</v>
      </c>
      <c r="G294">
        <v>3</v>
      </c>
      <c r="H294">
        <v>3</v>
      </c>
      <c r="I294">
        <v>3</v>
      </c>
      <c r="J294" s="10" t="s">
        <v>131</v>
      </c>
    </row>
    <row r="295" spans="1:10" ht="14.4" x14ac:dyDescent="0.3">
      <c r="A295" t="s">
        <v>408</v>
      </c>
      <c r="B295" t="s">
        <v>73</v>
      </c>
      <c r="C295" t="s">
        <v>96</v>
      </c>
      <c r="D295" s="9">
        <v>46034</v>
      </c>
      <c r="E295" t="s">
        <v>75</v>
      </c>
      <c r="F295">
        <v>5</v>
      </c>
      <c r="G295">
        <v>5</v>
      </c>
      <c r="H295">
        <v>5</v>
      </c>
      <c r="I295">
        <v>4</v>
      </c>
      <c r="J295" s="10" t="s">
        <v>87</v>
      </c>
    </row>
    <row r="296" spans="1:10" ht="14.4" x14ac:dyDescent="0.3">
      <c r="A296" t="s">
        <v>409</v>
      </c>
      <c r="B296" t="s">
        <v>85</v>
      </c>
      <c r="C296" t="s">
        <v>74</v>
      </c>
      <c r="D296" s="9">
        <v>46056</v>
      </c>
      <c r="E296" t="s">
        <v>86</v>
      </c>
      <c r="F296">
        <v>4</v>
      </c>
      <c r="G296">
        <v>4</v>
      </c>
      <c r="H296">
        <v>5</v>
      </c>
      <c r="I296">
        <v>5</v>
      </c>
      <c r="J296" s="10" t="s">
        <v>124</v>
      </c>
    </row>
    <row r="297" spans="1:10" ht="14.4" x14ac:dyDescent="0.3">
      <c r="A297" t="s">
        <v>410</v>
      </c>
      <c r="B297" t="s">
        <v>112</v>
      </c>
      <c r="C297" t="s">
        <v>74</v>
      </c>
      <c r="D297" s="9">
        <v>45843</v>
      </c>
      <c r="E297" t="s">
        <v>86</v>
      </c>
      <c r="F297">
        <v>3</v>
      </c>
      <c r="G297">
        <v>3</v>
      </c>
      <c r="H297">
        <v>3</v>
      </c>
      <c r="I297">
        <v>4</v>
      </c>
      <c r="J297" s="10" t="s">
        <v>101</v>
      </c>
    </row>
    <row r="298" spans="1:10" ht="14.4" x14ac:dyDescent="0.3">
      <c r="A298" t="s">
        <v>411</v>
      </c>
      <c r="B298" t="s">
        <v>85</v>
      </c>
      <c r="C298" t="s">
        <v>74</v>
      </c>
      <c r="D298" s="9">
        <v>46049</v>
      </c>
      <c r="E298" t="s">
        <v>75</v>
      </c>
      <c r="F298">
        <v>5</v>
      </c>
      <c r="G298">
        <v>4</v>
      </c>
      <c r="H298">
        <v>4</v>
      </c>
      <c r="I298">
        <v>5</v>
      </c>
      <c r="J298" s="10" t="s">
        <v>90</v>
      </c>
    </row>
    <row r="299" spans="1:10" ht="14.4" x14ac:dyDescent="0.3">
      <c r="A299" t="s">
        <v>412</v>
      </c>
      <c r="B299" t="s">
        <v>85</v>
      </c>
      <c r="C299" t="s">
        <v>79</v>
      </c>
      <c r="D299" s="9">
        <v>45937</v>
      </c>
      <c r="E299" t="s">
        <v>86</v>
      </c>
      <c r="F299">
        <v>4</v>
      </c>
      <c r="G299">
        <v>2</v>
      </c>
      <c r="H299">
        <v>4</v>
      </c>
      <c r="I299">
        <v>3</v>
      </c>
      <c r="J299" s="10" t="s">
        <v>110</v>
      </c>
    </row>
    <row r="300" spans="1:10" ht="14.4" x14ac:dyDescent="0.3">
      <c r="A300" t="s">
        <v>413</v>
      </c>
      <c r="B300" t="s">
        <v>85</v>
      </c>
      <c r="C300" t="s">
        <v>79</v>
      </c>
      <c r="D300" s="9">
        <v>46028</v>
      </c>
      <c r="E300" t="s">
        <v>75</v>
      </c>
      <c r="F300">
        <v>4</v>
      </c>
      <c r="G300">
        <v>4</v>
      </c>
      <c r="H300">
        <v>3</v>
      </c>
      <c r="I300">
        <v>5</v>
      </c>
      <c r="J300" s="10" t="s">
        <v>99</v>
      </c>
    </row>
    <row r="301" spans="1:10" ht="14.4" x14ac:dyDescent="0.3">
      <c r="A301" t="s">
        <v>414</v>
      </c>
      <c r="B301" t="s">
        <v>78</v>
      </c>
      <c r="C301" t="s">
        <v>96</v>
      </c>
      <c r="D301" s="9">
        <v>45853</v>
      </c>
      <c r="E301" t="s">
        <v>86</v>
      </c>
      <c r="F301">
        <v>3</v>
      </c>
      <c r="G301">
        <v>1</v>
      </c>
      <c r="H301">
        <v>4</v>
      </c>
      <c r="I301">
        <v>3</v>
      </c>
      <c r="J301" s="10" t="s">
        <v>83</v>
      </c>
    </row>
  </sheetData>
  <autoFilter ref="A1:J301" xr:uid="{00000000-0009-0000-0000-000001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6.4" x14ac:dyDescent="0.25">
      <c r="A1" s="6" t="s">
        <v>415</v>
      </c>
      <c r="B1" s="6" t="s">
        <v>416</v>
      </c>
      <c r="C1" s="6" t="s">
        <v>417</v>
      </c>
      <c r="D1" s="6" t="s">
        <v>418</v>
      </c>
      <c r="E1" s="6" t="s">
        <v>419</v>
      </c>
      <c r="F1" s="6" t="s">
        <v>420</v>
      </c>
    </row>
    <row r="2" spans="1:6" x14ac:dyDescent="0.25">
      <c r="A2" t="s">
        <v>421</v>
      </c>
      <c r="B2" t="s">
        <v>62</v>
      </c>
      <c r="C2" t="s">
        <v>422</v>
      </c>
      <c r="D2" t="s">
        <v>72</v>
      </c>
      <c r="E2">
        <v>300</v>
      </c>
      <c r="F2">
        <v>300</v>
      </c>
    </row>
    <row r="3" spans="1:6" x14ac:dyDescent="0.25">
      <c r="A3" t="s">
        <v>421</v>
      </c>
      <c r="B3" t="s">
        <v>63</v>
      </c>
      <c r="C3" t="s">
        <v>422</v>
      </c>
      <c r="D3" t="s">
        <v>73</v>
      </c>
      <c r="E3">
        <v>300</v>
      </c>
      <c r="F3">
        <v>6</v>
      </c>
    </row>
    <row r="4" spans="1:6" x14ac:dyDescent="0.25">
      <c r="A4" t="s">
        <v>421</v>
      </c>
      <c r="B4" t="s">
        <v>64</v>
      </c>
      <c r="C4" t="s">
        <v>422</v>
      </c>
      <c r="D4" t="s">
        <v>74</v>
      </c>
      <c r="E4">
        <v>300</v>
      </c>
      <c r="F4">
        <v>3</v>
      </c>
    </row>
    <row r="5" spans="1:6" x14ac:dyDescent="0.25">
      <c r="A5" t="s">
        <v>421</v>
      </c>
      <c r="B5" t="s">
        <v>65</v>
      </c>
      <c r="C5" t="s">
        <v>423</v>
      </c>
      <c r="D5" t="s">
        <v>424</v>
      </c>
      <c r="E5">
        <v>300</v>
      </c>
      <c r="F5">
        <v>182</v>
      </c>
    </row>
    <row r="6" spans="1:6" x14ac:dyDescent="0.25">
      <c r="A6" t="s">
        <v>421</v>
      </c>
      <c r="B6" t="s">
        <v>66</v>
      </c>
      <c r="C6" t="s">
        <v>422</v>
      </c>
      <c r="D6" t="s">
        <v>75</v>
      </c>
      <c r="E6">
        <v>300</v>
      </c>
      <c r="F6">
        <v>2</v>
      </c>
    </row>
    <row r="7" spans="1:6" x14ac:dyDescent="0.25">
      <c r="A7" t="s">
        <v>421</v>
      </c>
      <c r="B7" t="s">
        <v>67</v>
      </c>
      <c r="C7" t="s">
        <v>425</v>
      </c>
      <c r="D7" t="s">
        <v>426</v>
      </c>
      <c r="E7">
        <v>300</v>
      </c>
      <c r="F7">
        <v>5</v>
      </c>
    </row>
    <row r="8" spans="1:6" x14ac:dyDescent="0.25">
      <c r="A8" t="s">
        <v>421</v>
      </c>
      <c r="B8" t="s">
        <v>68</v>
      </c>
      <c r="C8" t="s">
        <v>425</v>
      </c>
      <c r="D8" t="s">
        <v>426</v>
      </c>
      <c r="E8">
        <v>300</v>
      </c>
      <c r="F8">
        <v>5</v>
      </c>
    </row>
    <row r="9" spans="1:6" x14ac:dyDescent="0.25">
      <c r="A9" t="s">
        <v>421</v>
      </c>
      <c r="B9" t="s">
        <v>69</v>
      </c>
      <c r="C9" t="s">
        <v>425</v>
      </c>
      <c r="D9" t="s">
        <v>427</v>
      </c>
      <c r="E9">
        <v>300</v>
      </c>
      <c r="F9">
        <v>4</v>
      </c>
    </row>
    <row r="10" spans="1:6" x14ac:dyDescent="0.25">
      <c r="A10" t="s">
        <v>421</v>
      </c>
      <c r="B10" t="s">
        <v>70</v>
      </c>
      <c r="C10" t="s">
        <v>425</v>
      </c>
      <c r="D10" t="s">
        <v>428</v>
      </c>
      <c r="E10">
        <v>300</v>
      </c>
      <c r="F10">
        <v>4</v>
      </c>
    </row>
    <row r="11" spans="1:6" x14ac:dyDescent="0.25">
      <c r="A11" t="s">
        <v>421</v>
      </c>
      <c r="B11" t="s">
        <v>71</v>
      </c>
      <c r="C11" t="s">
        <v>422</v>
      </c>
      <c r="D11" t="s">
        <v>76</v>
      </c>
      <c r="E11">
        <v>300</v>
      </c>
      <c r="F11">
        <v>32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9"/>
  <sheetViews>
    <sheetView tabSelected="1" zoomScaleNormal="100" workbookViewId="0">
      <pane ySplit="3" topLeftCell="A11" activePane="bottomLeft" state="frozen"/>
      <selection pane="bottomLeft" activeCell="H5" sqref="H5:H9"/>
    </sheetView>
  </sheetViews>
  <sheetFormatPr defaultColWidth="8.6640625" defaultRowHeight="13.2"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6" x14ac:dyDescent="0.25">
      <c r="A1" s="8" t="s">
        <v>429</v>
      </c>
    </row>
    <row r="2" spans="1:16" x14ac:dyDescent="0.25">
      <c r="A2" s="11" t="s">
        <v>430</v>
      </c>
    </row>
    <row r="3" spans="1:16" ht="26.4" x14ac:dyDescent="0.25">
      <c r="A3" s="6" t="s">
        <v>431</v>
      </c>
      <c r="B3" s="6" t="s">
        <v>432</v>
      </c>
      <c r="C3" s="6" t="s">
        <v>433</v>
      </c>
      <c r="D3" s="6" t="s">
        <v>434</v>
      </c>
      <c r="E3" s="6" t="s">
        <v>435</v>
      </c>
      <c r="F3" s="6" t="s">
        <v>436</v>
      </c>
      <c r="G3" s="6" t="s">
        <v>437</v>
      </c>
      <c r="H3" s="6" t="s">
        <v>438</v>
      </c>
      <c r="I3" s="6" t="s">
        <v>439</v>
      </c>
      <c r="J3" s="6" t="s">
        <v>440</v>
      </c>
    </row>
    <row r="4" spans="1:16" ht="39.6" x14ac:dyDescent="0.25">
      <c r="A4" s="12">
        <v>1</v>
      </c>
      <c r="B4" s="13">
        <v>46034</v>
      </c>
      <c r="C4" s="12" t="s">
        <v>441</v>
      </c>
      <c r="D4" s="12" t="s">
        <v>442</v>
      </c>
      <c r="E4" s="12" t="s">
        <v>443</v>
      </c>
      <c r="F4" s="12" t="s">
        <v>444</v>
      </c>
      <c r="G4" s="12" t="s">
        <v>445</v>
      </c>
      <c r="H4" s="12" t="s">
        <v>446</v>
      </c>
      <c r="I4" s="12" t="s">
        <v>447</v>
      </c>
      <c r="J4" s="12" t="s">
        <v>448</v>
      </c>
    </row>
    <row r="5" spans="1:16" ht="100.8" x14ac:dyDescent="0.3">
      <c r="A5" s="39">
        <f>ROW(A1)</f>
        <v>1</v>
      </c>
      <c r="B5" s="43">
        <v>46304</v>
      </c>
      <c r="C5" s="40" t="s">
        <v>477</v>
      </c>
      <c r="D5" s="40" t="s">
        <v>542</v>
      </c>
      <c r="E5" s="40" t="s">
        <v>543</v>
      </c>
      <c r="F5" s="40" t="s">
        <v>544</v>
      </c>
      <c r="G5" s="40" t="s">
        <v>593</v>
      </c>
      <c r="H5" s="40" t="s">
        <v>594</v>
      </c>
      <c r="I5" s="40" t="s">
        <v>546</v>
      </c>
      <c r="J5" s="44" t="s">
        <v>545</v>
      </c>
    </row>
    <row r="6" spans="1:16" ht="86.4" x14ac:dyDescent="0.3">
      <c r="A6" s="39">
        <f t="shared" ref="A6:A18" si="0">ROW(A2)</f>
        <v>2</v>
      </c>
      <c r="B6" s="12">
        <v>46304</v>
      </c>
      <c r="C6" s="43" t="s">
        <v>477</v>
      </c>
      <c r="D6" s="40" t="s">
        <v>542</v>
      </c>
      <c r="E6" s="40" t="s">
        <v>543</v>
      </c>
      <c r="F6" s="40" t="s">
        <v>547</v>
      </c>
      <c r="G6" s="40" t="s">
        <v>593</v>
      </c>
      <c r="H6" s="40" t="s">
        <v>594</v>
      </c>
      <c r="I6" s="40" t="s">
        <v>546</v>
      </c>
      <c r="J6" s="44" t="s">
        <v>548</v>
      </c>
      <c r="K6" s="44"/>
      <c r="L6" s="40"/>
      <c r="M6" s="40"/>
      <c r="N6" s="40"/>
      <c r="O6" s="40"/>
      <c r="P6" s="44"/>
    </row>
    <row r="7" spans="1:16" ht="86.4" x14ac:dyDescent="0.3">
      <c r="A7" s="39">
        <f t="shared" si="0"/>
        <v>3</v>
      </c>
      <c r="B7" s="12">
        <v>46304</v>
      </c>
      <c r="C7" s="43" t="s">
        <v>477</v>
      </c>
      <c r="D7" s="40" t="s">
        <v>542</v>
      </c>
      <c r="E7" s="40" t="s">
        <v>543</v>
      </c>
      <c r="F7" s="40" t="s">
        <v>549</v>
      </c>
      <c r="G7" s="40" t="s">
        <v>593</v>
      </c>
      <c r="H7" s="40" t="s">
        <v>594</v>
      </c>
      <c r="I7" s="40" t="s">
        <v>546</v>
      </c>
      <c r="J7" s="44" t="s">
        <v>550</v>
      </c>
      <c r="K7" s="44"/>
    </row>
    <row r="8" spans="1:16" ht="100.8" x14ac:dyDescent="0.3">
      <c r="A8" s="39">
        <f t="shared" si="0"/>
        <v>4</v>
      </c>
      <c r="B8" s="43">
        <v>46304</v>
      </c>
      <c r="C8" s="40" t="s">
        <v>477</v>
      </c>
      <c r="D8" s="40" t="s">
        <v>542</v>
      </c>
      <c r="E8" s="40" t="s">
        <v>543</v>
      </c>
      <c r="F8" s="40" t="s">
        <v>551</v>
      </c>
      <c r="G8" s="40" t="s">
        <v>593</v>
      </c>
      <c r="H8" s="40" t="s">
        <v>594</v>
      </c>
      <c r="I8" s="40" t="s">
        <v>546</v>
      </c>
      <c r="J8" s="44" t="s">
        <v>552</v>
      </c>
    </row>
    <row r="9" spans="1:16" ht="100.8" x14ac:dyDescent="0.3">
      <c r="A9" s="39">
        <f t="shared" si="0"/>
        <v>5</v>
      </c>
      <c r="B9" s="43">
        <v>46304</v>
      </c>
      <c r="C9" s="40" t="s">
        <v>477</v>
      </c>
      <c r="D9" s="40" t="s">
        <v>542</v>
      </c>
      <c r="E9" s="40" t="s">
        <v>543</v>
      </c>
      <c r="F9" s="40" t="s">
        <v>553</v>
      </c>
      <c r="G9" s="40" t="s">
        <v>593</v>
      </c>
      <c r="H9" s="40" t="s">
        <v>594</v>
      </c>
      <c r="I9" s="40" t="s">
        <v>546</v>
      </c>
      <c r="J9" s="44" t="s">
        <v>564</v>
      </c>
    </row>
    <row r="10" spans="1:16" ht="100.8" x14ac:dyDescent="0.3">
      <c r="A10" s="39">
        <f t="shared" si="0"/>
        <v>6</v>
      </c>
      <c r="B10" s="43">
        <v>46304</v>
      </c>
      <c r="C10" s="40" t="s">
        <v>477</v>
      </c>
      <c r="D10" s="40" t="s">
        <v>542</v>
      </c>
      <c r="E10" s="40" t="s">
        <v>543</v>
      </c>
      <c r="F10" s="40" t="s">
        <v>554</v>
      </c>
      <c r="G10" s="40" t="s">
        <v>573</v>
      </c>
      <c r="H10" s="40" t="s">
        <v>574</v>
      </c>
      <c r="I10" s="40" t="s">
        <v>546</v>
      </c>
      <c r="J10" s="44" t="s">
        <v>564</v>
      </c>
    </row>
    <row r="11" spans="1:16" ht="86.4" x14ac:dyDescent="0.3">
      <c r="A11" s="39">
        <f t="shared" si="0"/>
        <v>7</v>
      </c>
      <c r="B11" s="43">
        <v>46304</v>
      </c>
      <c r="C11" s="40" t="s">
        <v>477</v>
      </c>
      <c r="D11" s="40" t="s">
        <v>542</v>
      </c>
      <c r="E11" s="40" t="s">
        <v>543</v>
      </c>
      <c r="F11" s="40" t="s">
        <v>555</v>
      </c>
      <c r="G11" s="40" t="s">
        <v>575</v>
      </c>
      <c r="H11" s="40" t="s">
        <v>576</v>
      </c>
      <c r="I11" s="40" t="s">
        <v>546</v>
      </c>
      <c r="J11" s="44" t="s">
        <v>565</v>
      </c>
    </row>
    <row r="12" spans="1:16" ht="100.8" x14ac:dyDescent="0.3">
      <c r="A12" s="39">
        <f t="shared" si="0"/>
        <v>8</v>
      </c>
      <c r="B12" s="43">
        <v>46304</v>
      </c>
      <c r="C12" s="40" t="s">
        <v>477</v>
      </c>
      <c r="D12" s="40" t="s">
        <v>542</v>
      </c>
      <c r="E12" s="40" t="s">
        <v>543</v>
      </c>
      <c r="F12" s="40" t="s">
        <v>556</v>
      </c>
      <c r="G12" s="40" t="s">
        <v>577</v>
      </c>
      <c r="H12" s="40" t="s">
        <v>578</v>
      </c>
      <c r="I12" s="40" t="s">
        <v>546</v>
      </c>
      <c r="J12" s="44" t="s">
        <v>566</v>
      </c>
    </row>
    <row r="13" spans="1:16" ht="100.8" x14ac:dyDescent="0.3">
      <c r="A13" s="39">
        <f t="shared" si="0"/>
        <v>9</v>
      </c>
      <c r="B13" s="43">
        <v>46304</v>
      </c>
      <c r="C13" s="40" t="s">
        <v>477</v>
      </c>
      <c r="D13" s="40" t="s">
        <v>542</v>
      </c>
      <c r="E13" s="40" t="s">
        <v>543</v>
      </c>
      <c r="F13" s="40" t="s">
        <v>557</v>
      </c>
      <c r="G13" s="40" t="s">
        <v>579</v>
      </c>
      <c r="H13" s="40" t="s">
        <v>580</v>
      </c>
      <c r="I13" s="40" t="s">
        <v>546</v>
      </c>
      <c r="J13" s="44" t="s">
        <v>566</v>
      </c>
    </row>
    <row r="14" spans="1:16" ht="100.8" x14ac:dyDescent="0.3">
      <c r="A14" s="39">
        <f t="shared" si="0"/>
        <v>10</v>
      </c>
      <c r="B14" s="43">
        <v>46304</v>
      </c>
      <c r="C14" s="40" t="s">
        <v>477</v>
      </c>
      <c r="D14" s="40" t="s">
        <v>542</v>
      </c>
      <c r="E14" s="40" t="s">
        <v>543</v>
      </c>
      <c r="F14" s="40" t="s">
        <v>558</v>
      </c>
      <c r="G14" s="40" t="s">
        <v>581</v>
      </c>
      <c r="H14" s="40" t="s">
        <v>582</v>
      </c>
      <c r="I14" s="40" t="s">
        <v>546</v>
      </c>
      <c r="J14" s="44" t="s">
        <v>567</v>
      </c>
    </row>
    <row r="15" spans="1:16" ht="100.8" x14ac:dyDescent="0.3">
      <c r="A15" s="39">
        <f t="shared" si="0"/>
        <v>11</v>
      </c>
      <c r="B15" s="43">
        <v>46304</v>
      </c>
      <c r="C15" s="40" t="s">
        <v>477</v>
      </c>
      <c r="D15" s="40" t="s">
        <v>542</v>
      </c>
      <c r="E15" s="40" t="s">
        <v>543</v>
      </c>
      <c r="F15" s="40" t="s">
        <v>559</v>
      </c>
      <c r="G15" s="40" t="s">
        <v>583</v>
      </c>
      <c r="H15" s="40" t="s">
        <v>584</v>
      </c>
      <c r="I15" s="40" t="s">
        <v>546</v>
      </c>
      <c r="J15" s="44" t="s">
        <v>568</v>
      </c>
    </row>
    <row r="16" spans="1:16" ht="115.2" x14ac:dyDescent="0.3">
      <c r="A16" s="39">
        <f t="shared" si="0"/>
        <v>12</v>
      </c>
      <c r="B16" s="43">
        <v>46304</v>
      </c>
      <c r="C16" s="40" t="s">
        <v>477</v>
      </c>
      <c r="D16" s="40" t="s">
        <v>542</v>
      </c>
      <c r="E16" s="40" t="s">
        <v>543</v>
      </c>
      <c r="F16" s="40" t="s">
        <v>560</v>
      </c>
      <c r="G16" s="40" t="s">
        <v>585</v>
      </c>
      <c r="H16" s="40" t="s">
        <v>586</v>
      </c>
      <c r="I16" s="40" t="s">
        <v>546</v>
      </c>
      <c r="J16" s="44" t="s">
        <v>569</v>
      </c>
    </row>
    <row r="17" spans="1:10" ht="115.2" x14ac:dyDescent="0.3">
      <c r="A17" s="39">
        <f t="shared" si="0"/>
        <v>13</v>
      </c>
      <c r="B17" s="43">
        <v>46304</v>
      </c>
      <c r="C17" s="40" t="s">
        <v>477</v>
      </c>
      <c r="D17" s="40" t="s">
        <v>542</v>
      </c>
      <c r="E17" s="40" t="s">
        <v>543</v>
      </c>
      <c r="F17" s="40" t="s">
        <v>561</v>
      </c>
      <c r="G17" s="40" t="s">
        <v>587</v>
      </c>
      <c r="H17" s="40" t="s">
        <v>588</v>
      </c>
      <c r="I17" s="40" t="s">
        <v>546</v>
      </c>
      <c r="J17" s="44" t="s">
        <v>570</v>
      </c>
    </row>
    <row r="18" spans="1:10" ht="129.6" x14ac:dyDescent="0.3">
      <c r="A18" s="39">
        <f t="shared" si="0"/>
        <v>14</v>
      </c>
      <c r="B18" s="43">
        <v>46304</v>
      </c>
      <c r="C18" s="40" t="s">
        <v>477</v>
      </c>
      <c r="D18" s="40" t="s">
        <v>542</v>
      </c>
      <c r="E18" s="40" t="s">
        <v>543</v>
      </c>
      <c r="F18" s="40" t="s">
        <v>562</v>
      </c>
      <c r="G18" s="40" t="s">
        <v>589</v>
      </c>
      <c r="H18" s="40" t="s">
        <v>590</v>
      </c>
      <c r="I18" s="40" t="s">
        <v>546</v>
      </c>
      <c r="J18" s="44" t="s">
        <v>571</v>
      </c>
    </row>
    <row r="19" spans="1:10" ht="100.8" x14ac:dyDescent="0.3">
      <c r="A19" s="39">
        <f>ROW(A15)</f>
        <v>15</v>
      </c>
      <c r="B19" s="43">
        <v>46305</v>
      </c>
      <c r="C19" s="40" t="s">
        <v>477</v>
      </c>
      <c r="D19" s="40" t="s">
        <v>542</v>
      </c>
      <c r="E19" s="40" t="s">
        <v>543</v>
      </c>
      <c r="F19" s="40" t="s">
        <v>563</v>
      </c>
      <c r="G19" s="40" t="s">
        <v>591</v>
      </c>
      <c r="H19" s="40" t="s">
        <v>592</v>
      </c>
      <c r="I19" s="40" t="s">
        <v>546</v>
      </c>
      <c r="J19" s="44" t="s">
        <v>572</v>
      </c>
    </row>
    <row r="20" spans="1:10" ht="14.4" x14ac:dyDescent="0.25">
      <c r="A20" s="7">
        <v>17</v>
      </c>
      <c r="B20" s="14"/>
      <c r="C20" s="15"/>
      <c r="D20" s="15"/>
      <c r="E20" s="15"/>
      <c r="F20" s="15"/>
      <c r="G20" s="15"/>
      <c r="H20" s="15"/>
      <c r="I20" s="15"/>
      <c r="J20" s="15"/>
    </row>
    <row r="21" spans="1:10" ht="14.4" x14ac:dyDescent="0.25">
      <c r="A21" s="7">
        <v>18</v>
      </c>
      <c r="B21" s="14"/>
      <c r="C21" s="15"/>
      <c r="D21" s="15"/>
      <c r="E21" s="15"/>
      <c r="F21" s="15"/>
      <c r="G21" s="15"/>
      <c r="H21" s="15"/>
      <c r="I21" s="15"/>
      <c r="J21" s="15"/>
    </row>
    <row r="22" spans="1:10" ht="14.4" x14ac:dyDescent="0.25">
      <c r="A22" s="7">
        <v>19</v>
      </c>
      <c r="B22" s="14"/>
      <c r="C22" s="15"/>
      <c r="D22" s="15"/>
      <c r="E22" s="15"/>
      <c r="F22" s="15"/>
      <c r="G22" s="15"/>
      <c r="H22" s="15"/>
      <c r="I22" s="15"/>
      <c r="J22" s="15"/>
    </row>
    <row r="23" spans="1:10" ht="14.4" x14ac:dyDescent="0.25">
      <c r="A23" s="7">
        <v>20</v>
      </c>
      <c r="B23" s="14"/>
      <c r="C23" s="15"/>
      <c r="D23" s="15"/>
      <c r="E23" s="15"/>
      <c r="F23" s="15"/>
      <c r="G23" s="15"/>
      <c r="H23" s="15"/>
      <c r="I23" s="15"/>
      <c r="J23" s="15"/>
    </row>
    <row r="24" spans="1:10" ht="14.4" x14ac:dyDescent="0.25">
      <c r="A24" s="7">
        <v>21</v>
      </c>
      <c r="B24" s="14"/>
      <c r="C24" s="15"/>
      <c r="D24" s="15"/>
      <c r="E24" s="15"/>
      <c r="F24" s="15"/>
      <c r="G24" s="15"/>
      <c r="H24" s="15"/>
      <c r="I24" s="15"/>
      <c r="J24" s="15"/>
    </row>
    <row r="25" spans="1:10" ht="14.4" x14ac:dyDescent="0.25">
      <c r="A25" s="7">
        <v>22</v>
      </c>
      <c r="B25" s="14"/>
      <c r="C25" s="15"/>
      <c r="D25" s="15"/>
      <c r="E25" s="15"/>
      <c r="F25" s="15"/>
      <c r="G25" s="15"/>
      <c r="H25" s="15"/>
      <c r="I25" s="15"/>
      <c r="J25" s="15"/>
    </row>
    <row r="26" spans="1:10" ht="14.4" x14ac:dyDescent="0.25">
      <c r="A26" s="7">
        <v>23</v>
      </c>
      <c r="B26" s="14"/>
      <c r="C26" s="15"/>
      <c r="D26" s="15"/>
      <c r="E26" s="15"/>
      <c r="F26" s="15"/>
      <c r="G26" s="15"/>
      <c r="H26" s="15"/>
      <c r="I26" s="15"/>
      <c r="J26" s="15"/>
    </row>
    <row r="27" spans="1:10" ht="14.4" x14ac:dyDescent="0.25">
      <c r="A27" s="7">
        <v>24</v>
      </c>
      <c r="B27" s="14"/>
      <c r="C27" s="15"/>
      <c r="D27" s="15"/>
      <c r="E27" s="15"/>
      <c r="F27" s="15"/>
      <c r="G27" s="15"/>
      <c r="H27" s="15"/>
      <c r="I27" s="15"/>
      <c r="J27" s="15"/>
    </row>
    <row r="28" spans="1:10" ht="14.4" x14ac:dyDescent="0.25">
      <c r="A28" s="7">
        <v>25</v>
      </c>
      <c r="B28" s="14"/>
      <c r="C28" s="15"/>
      <c r="D28" s="15"/>
      <c r="E28" s="15"/>
      <c r="F28" s="15"/>
      <c r="G28" s="15"/>
      <c r="H28" s="15"/>
      <c r="I28" s="15"/>
      <c r="J28" s="15"/>
    </row>
    <row r="29" spans="1:10" ht="14.4" x14ac:dyDescent="0.25">
      <c r="A29" s="7">
        <v>26</v>
      </c>
      <c r="B29" s="14"/>
      <c r="C29" s="15"/>
      <c r="D29" s="15"/>
      <c r="E29" s="15"/>
      <c r="F29" s="15"/>
      <c r="G29" s="15"/>
      <c r="H29" s="15"/>
      <c r="I29" s="15"/>
      <c r="J29" s="15"/>
    </row>
  </sheetData>
  <dataValidations count="1">
    <dataValidation type="list" allowBlank="1" sqref="I20:I29" xr:uid="{00000000-0002-0000-0300-000000000000}">
      <formula1>"Kept,Rejected,Partly kept"</formula1>
      <formula2>0</formula2>
    </dataValidation>
  </dataValidations>
  <hyperlinks>
    <hyperlink ref="J5" r:id="rId1" xr:uid="{6C622D05-4CE4-4CE6-B1CA-D898EF174FEE}"/>
    <hyperlink ref="J6" r:id="rId2" xr:uid="{B07B301D-DA81-4D98-813C-C53D6AB3E06D}"/>
    <hyperlink ref="J7" r:id="rId3" xr:uid="{792B3808-BECA-43D5-AF13-778F4FDCED55}"/>
    <hyperlink ref="J8" r:id="rId4" xr:uid="{A561FA34-F569-4235-B1BE-24D5CBECC9AA}"/>
    <hyperlink ref="J9" r:id="rId5" xr:uid="{22A415DE-AA6B-45C6-AA7F-A22CFC08FEAD}"/>
    <hyperlink ref="J10" r:id="rId6" xr:uid="{A357D7FC-DA54-4539-A019-B69F78EC2DEE}"/>
    <hyperlink ref="J11" r:id="rId7" xr:uid="{5623CE9E-BD7C-42CF-8A98-7C3B065D5E1E}"/>
    <hyperlink ref="J12" r:id="rId8" xr:uid="{374294DB-BA0F-4A32-B9E4-A613D89B7E35}"/>
    <hyperlink ref="J13" r:id="rId9" xr:uid="{C458AC1D-B91B-4C7F-B268-D6CDAAA4E3E7}"/>
    <hyperlink ref="J14" r:id="rId10" xr:uid="{446CF9EC-0EBD-4173-9D42-E111DB1897DE}"/>
    <hyperlink ref="J15" r:id="rId11" xr:uid="{BC6641C2-FC77-4F2F-A13E-EE10F2DADF15}"/>
    <hyperlink ref="J16" r:id="rId12" xr:uid="{2C9FA953-4837-4977-A16B-9F9CF93AA2CA}"/>
    <hyperlink ref="J17" r:id="rId13" xr:uid="{235CD0E5-6A86-48CB-AB67-8A59DD062569}"/>
    <hyperlink ref="J18" r:id="rId14" xr:uid="{7599BB60-BDAF-4497-B9F1-E9B5B5038773}"/>
    <hyperlink ref="J19" r:id="rId15" xr:uid="{91E6E734-EBDE-457C-BD81-2F9EDDA9D8C5}"/>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 Brief</vt:lpstr>
      <vt:lpstr>Course Scorecard</vt:lpstr>
      <vt:lpstr>Course Redesign Ranking</vt:lpstr>
      <vt:lpstr>Dashboard</vt:lpstr>
      <vt:lpstr>Comment Themes</vt:lpstr>
      <vt:lpstr>Trainer Notes</vt:lpstr>
      <vt:lpstr>AI Theme Validation</vt:lpstr>
      <vt:lpstr>Training Feedback</vt:lpstr>
      <vt:lpstr>Data Dictionary</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Devarath Suku</cp:lastModifiedBy>
  <cp:revision>0</cp:revision>
  <dcterms:created xsi:type="dcterms:W3CDTF">2026-09-25T16:15:30Z</dcterms:created>
  <dcterms:modified xsi:type="dcterms:W3CDTF">2026-10-09T17:55:32Z</dcterms:modified>
  <dc:language>en-US</dc:language>
</cp:coreProperties>
</file>